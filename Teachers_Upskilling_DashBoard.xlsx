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c\OneDrive\Documents\Data Analysis\Dashboards\"/>
    </mc:Choice>
  </mc:AlternateContent>
  <xr:revisionPtr revIDLastSave="0" documentId="13_ncr:1_{D8D28F36-CD28-442F-B3A7-7DE290149250}" xr6:coauthVersionLast="47" xr6:coauthVersionMax="47" xr10:uidLastSave="{00000000-0000-0000-0000-000000000000}"/>
  <bookViews>
    <workbookView xWindow="-108" yWindow="-108" windowWidth="23256" windowHeight="12456" firstSheet="1" activeTab="2" xr2:uid="{00000000-000D-0000-FFFF-FFFF00000000}"/>
  </bookViews>
  <sheets>
    <sheet name="Detail1" sheetId="4" state="hidden" r:id="rId1"/>
    <sheet name="Pivots" sheetId="2" r:id="rId2"/>
    <sheet name="Dashboard" sheetId="3" r:id="rId3"/>
    <sheet name="Teacher_Course_Completion" sheetId="1" state="hidden" r:id="rId4"/>
  </sheets>
  <definedNames>
    <definedName name="Slicer_Completion_Status">#N/A</definedName>
    <definedName name="Slicer_Course_Name">#N/A</definedName>
    <definedName name="Slicer_Mode_of_Training">#N/A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F41" i="3" l="1"/>
  <c r="AF42" i="3" s="1"/>
  <c r="AF47" i="3" s="1"/>
  <c r="AF39" i="3"/>
  <c r="AF40" i="3" s="1"/>
  <c r="AF46" i="3" s="1"/>
  <c r="AF37" i="3"/>
  <c r="AF38" i="3" s="1"/>
  <c r="AF45" i="3" s="1"/>
  <c r="AF35" i="3"/>
  <c r="AF36" i="3" s="1"/>
  <c r="AF44" i="3" s="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AF50" i="3" l="1"/>
</calcChain>
</file>

<file path=xl/sharedStrings.xml><?xml version="1.0" encoding="utf-8"?>
<sst xmlns="http://schemas.openxmlformats.org/spreadsheetml/2006/main" count="7307" uniqueCount="1148">
  <si>
    <t>Teacher_ID</t>
  </si>
  <si>
    <t>Teacher_Name</t>
  </si>
  <si>
    <t>Gender</t>
  </si>
  <si>
    <t>Age</t>
  </si>
  <si>
    <t>School_Name</t>
  </si>
  <si>
    <t>Subject</t>
  </si>
  <si>
    <t>Course_Name</t>
  </si>
  <si>
    <t>Course_Category</t>
  </si>
  <si>
    <t>Mode_of_Training</t>
  </si>
  <si>
    <t>Start_Date</t>
  </si>
  <si>
    <t>End_Date</t>
  </si>
  <si>
    <t>Completion_Status</t>
  </si>
  <si>
    <t>Completion_Percentage</t>
  </si>
  <si>
    <t>Assessment_Score</t>
  </si>
  <si>
    <t>Certificate_Issued</t>
  </si>
  <si>
    <t>Training_Hours</t>
  </si>
  <si>
    <t>Region</t>
  </si>
  <si>
    <t>State</t>
  </si>
  <si>
    <t>Email_ID</t>
  </si>
  <si>
    <t>Experience_Years</t>
  </si>
  <si>
    <t>T0001</t>
  </si>
  <si>
    <t>Suresh R</t>
  </si>
  <si>
    <t>Female</t>
  </si>
  <si>
    <t>Public School</t>
  </si>
  <si>
    <t>Science</t>
  </si>
  <si>
    <t>EdTech Tools</t>
  </si>
  <si>
    <t>Assessment</t>
  </si>
  <si>
    <t>Offline</t>
  </si>
  <si>
    <t>In Progress</t>
  </si>
  <si>
    <t>No</t>
  </si>
  <si>
    <t>North</t>
  </si>
  <si>
    <t>Delhi</t>
  </si>
  <si>
    <t>teacher1@school.edu</t>
  </si>
  <si>
    <t>T0002</t>
  </si>
  <si>
    <t>Amit K</t>
  </si>
  <si>
    <t>Male</t>
  </si>
  <si>
    <t>International School</t>
  </si>
  <si>
    <t>Social Science</t>
  </si>
  <si>
    <t>Digital Teaching</t>
  </si>
  <si>
    <t>Professional Development</t>
  </si>
  <si>
    <t>South</t>
  </si>
  <si>
    <t>Kerala</t>
  </si>
  <si>
    <t>teacher2@school.edu</t>
  </si>
  <si>
    <t>T0003</t>
  </si>
  <si>
    <t>Priya S</t>
  </si>
  <si>
    <t>Classroom Management</t>
  </si>
  <si>
    <t>Online</t>
  </si>
  <si>
    <t>teacher3@school.edu</t>
  </si>
  <si>
    <t>T0004</t>
  </si>
  <si>
    <t>Ravi R</t>
  </si>
  <si>
    <t>Pedagogy</t>
  </si>
  <si>
    <t>Hybrid</t>
  </si>
  <si>
    <t>Completed</t>
  </si>
  <si>
    <t>Yes</t>
  </si>
  <si>
    <t>teacher4@school.edu</t>
  </si>
  <si>
    <t>T0005</t>
  </si>
  <si>
    <t>Rahul M</t>
  </si>
  <si>
    <t>Central School</t>
  </si>
  <si>
    <t>Inclusive Education</t>
  </si>
  <si>
    <t>Technology</t>
  </si>
  <si>
    <t>Not Completed</t>
  </si>
  <si>
    <t>West</t>
  </si>
  <si>
    <t>Maharashtra</t>
  </si>
  <si>
    <t>teacher5@school.edu</t>
  </si>
  <si>
    <t>T0006</t>
  </si>
  <si>
    <t>Sneha M</t>
  </si>
  <si>
    <t>Govt High School</t>
  </si>
  <si>
    <t>Maths</t>
  </si>
  <si>
    <t>East</t>
  </si>
  <si>
    <t>teacher6@school.edu</t>
  </si>
  <si>
    <t>T0007</t>
  </si>
  <si>
    <t>Rahul R</t>
  </si>
  <si>
    <t>Karnataka</t>
  </si>
  <si>
    <t>teacher7@school.edu</t>
  </si>
  <si>
    <t>T0008</t>
  </si>
  <si>
    <t>Neha K</t>
  </si>
  <si>
    <t>Assessment Skills</t>
  </si>
  <si>
    <t>teacher8@school.edu</t>
  </si>
  <si>
    <t>T0009</t>
  </si>
  <si>
    <t>Suresh S</t>
  </si>
  <si>
    <t>teacher9@school.edu</t>
  </si>
  <si>
    <t>T0010</t>
  </si>
  <si>
    <t>Sneha K</t>
  </si>
  <si>
    <t>English</t>
  </si>
  <si>
    <t>teacher10@school.edu</t>
  </si>
  <si>
    <t>T0011</t>
  </si>
  <si>
    <t>Ravi M</t>
  </si>
  <si>
    <t>teacher11@school.edu</t>
  </si>
  <si>
    <t>T0012</t>
  </si>
  <si>
    <t>Kiran R</t>
  </si>
  <si>
    <t>teacher12@school.edu</t>
  </si>
  <si>
    <t>T0013</t>
  </si>
  <si>
    <t>teacher13@school.edu</t>
  </si>
  <si>
    <t>T0014</t>
  </si>
  <si>
    <t>Kiran M</t>
  </si>
  <si>
    <t>teacher14@school.edu</t>
  </si>
  <si>
    <t>T0015</t>
  </si>
  <si>
    <t>teacher15@school.edu</t>
  </si>
  <si>
    <t>T0016</t>
  </si>
  <si>
    <t>Priya R</t>
  </si>
  <si>
    <t>Computer Science</t>
  </si>
  <si>
    <t>teacher16@school.edu</t>
  </si>
  <si>
    <t>T0017</t>
  </si>
  <si>
    <t>Pooja R</t>
  </si>
  <si>
    <t>Tamil Nadu</t>
  </si>
  <si>
    <t>teacher17@school.edu</t>
  </si>
  <si>
    <t>T0018</t>
  </si>
  <si>
    <t>Anjali S</t>
  </si>
  <si>
    <t>teacher18@school.edu</t>
  </si>
  <si>
    <t>T0019</t>
  </si>
  <si>
    <t>Kiran S</t>
  </si>
  <si>
    <t>teacher19@school.edu</t>
  </si>
  <si>
    <t>T0020</t>
  </si>
  <si>
    <t>teacher20@school.edu</t>
  </si>
  <si>
    <t>T0021</t>
  </si>
  <si>
    <t>Amit R</t>
  </si>
  <si>
    <t>teacher21@school.edu</t>
  </si>
  <si>
    <t>T0022</t>
  </si>
  <si>
    <t>Neha R</t>
  </si>
  <si>
    <t>teacher22@school.edu</t>
  </si>
  <si>
    <t>T0023</t>
  </si>
  <si>
    <t>Suresh M</t>
  </si>
  <si>
    <t>teacher23@school.edu</t>
  </si>
  <si>
    <t>T0024</t>
  </si>
  <si>
    <t>Anjali M</t>
  </si>
  <si>
    <t>teacher24@school.edu</t>
  </si>
  <si>
    <t>T0025</t>
  </si>
  <si>
    <t>teacher25@school.edu</t>
  </si>
  <si>
    <t>T0026</t>
  </si>
  <si>
    <t>teacher26@school.edu</t>
  </si>
  <si>
    <t>T0027</t>
  </si>
  <si>
    <t>teacher27@school.edu</t>
  </si>
  <si>
    <t>T0028</t>
  </si>
  <si>
    <t>Anjali K</t>
  </si>
  <si>
    <t>teacher28@school.edu</t>
  </si>
  <si>
    <t>T0029</t>
  </si>
  <si>
    <t>teacher29@school.edu</t>
  </si>
  <si>
    <t>T0030</t>
  </si>
  <si>
    <t>teacher30@school.edu</t>
  </si>
  <si>
    <t>T0031</t>
  </si>
  <si>
    <t>Pooja M</t>
  </si>
  <si>
    <t>teacher31@school.edu</t>
  </si>
  <si>
    <t>T0032</t>
  </si>
  <si>
    <t>teacher32@school.edu</t>
  </si>
  <si>
    <t>T0033</t>
  </si>
  <si>
    <t>Ravi K</t>
  </si>
  <si>
    <t>teacher33@school.edu</t>
  </si>
  <si>
    <t>T0034</t>
  </si>
  <si>
    <t>teacher34@school.edu</t>
  </si>
  <si>
    <t>T0035</t>
  </si>
  <si>
    <t>teacher35@school.edu</t>
  </si>
  <si>
    <t>T0036</t>
  </si>
  <si>
    <t>teacher36@school.edu</t>
  </si>
  <si>
    <t>T0037</t>
  </si>
  <si>
    <t>teacher37@school.edu</t>
  </si>
  <si>
    <t>T0038</t>
  </si>
  <si>
    <t>Rahul S</t>
  </si>
  <si>
    <t>teacher38@school.edu</t>
  </si>
  <si>
    <t>T0039</t>
  </si>
  <si>
    <t>teacher39@school.edu</t>
  </si>
  <si>
    <t>T0040</t>
  </si>
  <si>
    <t>teacher40@school.edu</t>
  </si>
  <si>
    <t>T0041</t>
  </si>
  <si>
    <t>teacher41@school.edu</t>
  </si>
  <si>
    <t>T0042</t>
  </si>
  <si>
    <t>teacher42@school.edu</t>
  </si>
  <si>
    <t>T0043</t>
  </si>
  <si>
    <t>Priya M</t>
  </si>
  <si>
    <t>teacher43@school.edu</t>
  </si>
  <si>
    <t>T0044</t>
  </si>
  <si>
    <t>teacher44@school.edu</t>
  </si>
  <si>
    <t>T0045</t>
  </si>
  <si>
    <t>teacher45@school.edu</t>
  </si>
  <si>
    <t>T0046</t>
  </si>
  <si>
    <t>teacher46@school.edu</t>
  </si>
  <si>
    <t>T0047</t>
  </si>
  <si>
    <t>Sneha S</t>
  </si>
  <si>
    <t>teacher47@school.edu</t>
  </si>
  <si>
    <t>T0048</t>
  </si>
  <si>
    <t>Kiran K</t>
  </si>
  <si>
    <t>teacher48@school.edu</t>
  </si>
  <si>
    <t>T0049</t>
  </si>
  <si>
    <t>Pooja S</t>
  </si>
  <si>
    <t>teacher49@school.edu</t>
  </si>
  <si>
    <t>T0050</t>
  </si>
  <si>
    <t>Rahul K</t>
  </si>
  <si>
    <t>teacher50@school.edu</t>
  </si>
  <si>
    <t>T0051</t>
  </si>
  <si>
    <t>Amit S</t>
  </si>
  <si>
    <t>teacher51@school.edu</t>
  </si>
  <si>
    <t>T0052</t>
  </si>
  <si>
    <t>Sneha R</t>
  </si>
  <si>
    <t>teacher52@school.edu</t>
  </si>
  <si>
    <t>T0053</t>
  </si>
  <si>
    <t>Suresh K</t>
  </si>
  <si>
    <t>teacher53@school.edu</t>
  </si>
  <si>
    <t>T0054</t>
  </si>
  <si>
    <t>Ravi S</t>
  </si>
  <si>
    <t>teacher54@school.edu</t>
  </si>
  <si>
    <t>T0055</t>
  </si>
  <si>
    <t>teacher55@school.edu</t>
  </si>
  <si>
    <t>T0056</t>
  </si>
  <si>
    <t>teacher56@school.edu</t>
  </si>
  <si>
    <t>T0057</t>
  </si>
  <si>
    <t>teacher57@school.edu</t>
  </si>
  <si>
    <t>T0058</t>
  </si>
  <si>
    <t>teacher58@school.edu</t>
  </si>
  <si>
    <t>T0059</t>
  </si>
  <si>
    <t>teacher59@school.edu</t>
  </si>
  <si>
    <t>T0060</t>
  </si>
  <si>
    <t>teacher60@school.edu</t>
  </si>
  <si>
    <t>T0061</t>
  </si>
  <si>
    <t>teacher61@school.edu</t>
  </si>
  <si>
    <t>T0062</t>
  </si>
  <si>
    <t>Amit M</t>
  </si>
  <si>
    <t>teacher62@school.edu</t>
  </si>
  <si>
    <t>T0063</t>
  </si>
  <si>
    <t>teacher63@school.edu</t>
  </si>
  <si>
    <t>T0064</t>
  </si>
  <si>
    <t>teacher64@school.edu</t>
  </si>
  <si>
    <t>T0065</t>
  </si>
  <si>
    <t>teacher65@school.edu</t>
  </si>
  <si>
    <t>T0066</t>
  </si>
  <si>
    <t>teacher66@school.edu</t>
  </si>
  <si>
    <t>T0067</t>
  </si>
  <si>
    <t>teacher67@school.edu</t>
  </si>
  <si>
    <t>T0068</t>
  </si>
  <si>
    <t>teacher68@school.edu</t>
  </si>
  <si>
    <t>T0069</t>
  </si>
  <si>
    <t>Anjali R</t>
  </si>
  <si>
    <t>teacher69@school.edu</t>
  </si>
  <si>
    <t>T0070</t>
  </si>
  <si>
    <t>teacher70@school.edu</t>
  </si>
  <si>
    <t>T0071</t>
  </si>
  <si>
    <t>teacher71@school.edu</t>
  </si>
  <si>
    <t>T0072</t>
  </si>
  <si>
    <t>teacher72@school.edu</t>
  </si>
  <si>
    <t>T0073</t>
  </si>
  <si>
    <t>Pooja K</t>
  </si>
  <si>
    <t>teacher73@school.edu</t>
  </si>
  <si>
    <t>T0074</t>
  </si>
  <si>
    <t>teacher74@school.edu</t>
  </si>
  <si>
    <t>T0075</t>
  </si>
  <si>
    <t>teacher75@school.edu</t>
  </si>
  <si>
    <t>T0076</t>
  </si>
  <si>
    <t>teacher76@school.edu</t>
  </si>
  <si>
    <t>T0077</t>
  </si>
  <si>
    <t>teacher77@school.edu</t>
  </si>
  <si>
    <t>T0078</t>
  </si>
  <si>
    <t>teacher78@school.edu</t>
  </si>
  <si>
    <t>T0079</t>
  </si>
  <si>
    <t>teacher79@school.edu</t>
  </si>
  <si>
    <t>T0080</t>
  </si>
  <si>
    <t>teacher80@school.edu</t>
  </si>
  <si>
    <t>T0081</t>
  </si>
  <si>
    <t>teacher81@school.edu</t>
  </si>
  <si>
    <t>T0082</t>
  </si>
  <si>
    <t>teacher82@school.edu</t>
  </si>
  <si>
    <t>T0083</t>
  </si>
  <si>
    <t>teacher83@school.edu</t>
  </si>
  <si>
    <t>T0084</t>
  </si>
  <si>
    <t>teacher84@school.edu</t>
  </si>
  <si>
    <t>T0085</t>
  </si>
  <si>
    <t>teacher85@school.edu</t>
  </si>
  <si>
    <t>T0086</t>
  </si>
  <si>
    <t>teacher86@school.edu</t>
  </si>
  <si>
    <t>T0087</t>
  </si>
  <si>
    <t>teacher87@school.edu</t>
  </si>
  <si>
    <t>T0088</t>
  </si>
  <si>
    <t>teacher88@school.edu</t>
  </si>
  <si>
    <t>T0089</t>
  </si>
  <si>
    <t>teacher89@school.edu</t>
  </si>
  <si>
    <t>T0090</t>
  </si>
  <si>
    <t>teacher90@school.edu</t>
  </si>
  <si>
    <t>T0091</t>
  </si>
  <si>
    <t>teacher91@school.edu</t>
  </si>
  <si>
    <t>T0092</t>
  </si>
  <si>
    <t>teacher92@school.edu</t>
  </si>
  <si>
    <t>T0093</t>
  </si>
  <si>
    <t>teacher93@school.edu</t>
  </si>
  <si>
    <t>T0094</t>
  </si>
  <si>
    <t>Neha M</t>
  </si>
  <si>
    <t>teacher94@school.edu</t>
  </si>
  <si>
    <t>T0095</t>
  </si>
  <si>
    <t>teacher95@school.edu</t>
  </si>
  <si>
    <t>T0096</t>
  </si>
  <si>
    <t>teacher96@school.edu</t>
  </si>
  <si>
    <t>T0097</t>
  </si>
  <si>
    <t>teacher97@school.edu</t>
  </si>
  <si>
    <t>T0098</t>
  </si>
  <si>
    <t>teacher98@school.edu</t>
  </si>
  <si>
    <t>T0099</t>
  </si>
  <si>
    <t>teacher99@school.edu</t>
  </si>
  <si>
    <t>T0100</t>
  </si>
  <si>
    <t>teacher100@school.edu</t>
  </si>
  <si>
    <t>T0101</t>
  </si>
  <si>
    <t>teacher101@school.edu</t>
  </si>
  <si>
    <t>T0102</t>
  </si>
  <si>
    <t>teacher102@school.edu</t>
  </si>
  <si>
    <t>T0103</t>
  </si>
  <si>
    <t>teacher103@school.edu</t>
  </si>
  <si>
    <t>T0104</t>
  </si>
  <si>
    <t>teacher104@school.edu</t>
  </si>
  <si>
    <t>T0105</t>
  </si>
  <si>
    <t>teacher105@school.edu</t>
  </si>
  <si>
    <t>T0106</t>
  </si>
  <si>
    <t>teacher106@school.edu</t>
  </si>
  <si>
    <t>T0107</t>
  </si>
  <si>
    <t>Priya K</t>
  </si>
  <si>
    <t>teacher107@school.edu</t>
  </si>
  <si>
    <t>T0108</t>
  </si>
  <si>
    <t>teacher108@school.edu</t>
  </si>
  <si>
    <t>T0109</t>
  </si>
  <si>
    <t>teacher109@school.edu</t>
  </si>
  <si>
    <t>T0110</t>
  </si>
  <si>
    <t>teacher110@school.edu</t>
  </si>
  <si>
    <t>T0111</t>
  </si>
  <si>
    <t>teacher111@school.edu</t>
  </si>
  <si>
    <t>T0112</t>
  </si>
  <si>
    <t>teacher112@school.edu</t>
  </si>
  <si>
    <t>T0113</t>
  </si>
  <si>
    <t>teacher113@school.edu</t>
  </si>
  <si>
    <t>T0114</t>
  </si>
  <si>
    <t>teacher114@school.edu</t>
  </si>
  <si>
    <t>T0115</t>
  </si>
  <si>
    <t>teacher115@school.edu</t>
  </si>
  <si>
    <t>T0116</t>
  </si>
  <si>
    <t>teacher116@school.edu</t>
  </si>
  <si>
    <t>T0117</t>
  </si>
  <si>
    <t>teacher117@school.edu</t>
  </si>
  <si>
    <t>T0118</t>
  </si>
  <si>
    <t>teacher118@school.edu</t>
  </si>
  <si>
    <t>T0119</t>
  </si>
  <si>
    <t>teacher119@school.edu</t>
  </si>
  <si>
    <t>T0120</t>
  </si>
  <si>
    <t>teacher120@school.edu</t>
  </si>
  <si>
    <t>T0121</t>
  </si>
  <si>
    <t>teacher121@school.edu</t>
  </si>
  <si>
    <t>T0122</t>
  </si>
  <si>
    <t>teacher122@school.edu</t>
  </si>
  <si>
    <t>T0123</t>
  </si>
  <si>
    <t>teacher123@school.edu</t>
  </si>
  <si>
    <t>T0124</t>
  </si>
  <si>
    <t>teacher124@school.edu</t>
  </si>
  <si>
    <t>T0125</t>
  </si>
  <si>
    <t>teacher125@school.edu</t>
  </si>
  <si>
    <t>T0126</t>
  </si>
  <si>
    <t>teacher126@school.edu</t>
  </si>
  <si>
    <t>T0127</t>
  </si>
  <si>
    <t>teacher127@school.edu</t>
  </si>
  <si>
    <t>T0128</t>
  </si>
  <si>
    <t>teacher128@school.edu</t>
  </si>
  <si>
    <t>T0129</t>
  </si>
  <si>
    <t>teacher129@school.edu</t>
  </si>
  <si>
    <t>T0130</t>
  </si>
  <si>
    <t>teacher130@school.edu</t>
  </si>
  <si>
    <t>T0131</t>
  </si>
  <si>
    <t>teacher131@school.edu</t>
  </si>
  <si>
    <t>T0132</t>
  </si>
  <si>
    <t>teacher132@school.edu</t>
  </si>
  <si>
    <t>T0133</t>
  </si>
  <si>
    <t>teacher133@school.edu</t>
  </si>
  <si>
    <t>T0134</t>
  </si>
  <si>
    <t>teacher134@school.edu</t>
  </si>
  <si>
    <t>T0135</t>
  </si>
  <si>
    <t>teacher135@school.edu</t>
  </si>
  <si>
    <t>T0136</t>
  </si>
  <si>
    <t>teacher136@school.edu</t>
  </si>
  <si>
    <t>T0137</t>
  </si>
  <si>
    <t>teacher137@school.edu</t>
  </si>
  <si>
    <t>T0138</t>
  </si>
  <si>
    <t>teacher138@school.edu</t>
  </si>
  <si>
    <t>T0139</t>
  </si>
  <si>
    <t>teacher139@school.edu</t>
  </si>
  <si>
    <t>T0140</t>
  </si>
  <si>
    <t>teacher140@school.edu</t>
  </si>
  <si>
    <t>T0141</t>
  </si>
  <si>
    <t>teacher141@school.edu</t>
  </si>
  <si>
    <t>T0142</t>
  </si>
  <si>
    <t>teacher142@school.edu</t>
  </si>
  <si>
    <t>T0143</t>
  </si>
  <si>
    <t>teacher143@school.edu</t>
  </si>
  <si>
    <t>T0144</t>
  </si>
  <si>
    <t>teacher144@school.edu</t>
  </si>
  <si>
    <t>T0145</t>
  </si>
  <si>
    <t>teacher145@school.edu</t>
  </si>
  <si>
    <t>T0146</t>
  </si>
  <si>
    <t>teacher146@school.edu</t>
  </si>
  <si>
    <t>T0147</t>
  </si>
  <si>
    <t>teacher147@school.edu</t>
  </si>
  <si>
    <t>T0148</t>
  </si>
  <si>
    <t>teacher148@school.edu</t>
  </si>
  <si>
    <t>T0149</t>
  </si>
  <si>
    <t>teacher149@school.edu</t>
  </si>
  <si>
    <t>T0150</t>
  </si>
  <si>
    <t>teacher150@school.edu</t>
  </si>
  <si>
    <t>T0151</t>
  </si>
  <si>
    <t>teacher151@school.edu</t>
  </si>
  <si>
    <t>T0152</t>
  </si>
  <si>
    <t>teacher152@school.edu</t>
  </si>
  <si>
    <t>T0153</t>
  </si>
  <si>
    <t>teacher153@school.edu</t>
  </si>
  <si>
    <t>T0154</t>
  </si>
  <si>
    <t>teacher154@school.edu</t>
  </si>
  <si>
    <t>T0155</t>
  </si>
  <si>
    <t>teacher155@school.edu</t>
  </si>
  <si>
    <t>T0156</t>
  </si>
  <si>
    <t>teacher156@school.edu</t>
  </si>
  <si>
    <t>T0157</t>
  </si>
  <si>
    <t>teacher157@school.edu</t>
  </si>
  <si>
    <t>T0158</t>
  </si>
  <si>
    <t>teacher158@school.edu</t>
  </si>
  <si>
    <t>T0159</t>
  </si>
  <si>
    <t>teacher159@school.edu</t>
  </si>
  <si>
    <t>T0160</t>
  </si>
  <si>
    <t>teacher160@school.edu</t>
  </si>
  <si>
    <t>T0161</t>
  </si>
  <si>
    <t>Neha S</t>
  </si>
  <si>
    <t>teacher161@school.edu</t>
  </si>
  <si>
    <t>T0162</t>
  </si>
  <si>
    <t>teacher162@school.edu</t>
  </si>
  <si>
    <t>T0163</t>
  </si>
  <si>
    <t>teacher163@school.edu</t>
  </si>
  <si>
    <t>T0164</t>
  </si>
  <si>
    <t>teacher164@school.edu</t>
  </si>
  <si>
    <t>T0165</t>
  </si>
  <si>
    <t>teacher165@school.edu</t>
  </si>
  <si>
    <t>T0166</t>
  </si>
  <si>
    <t>teacher166@school.edu</t>
  </si>
  <si>
    <t>T0167</t>
  </si>
  <si>
    <t>teacher167@school.edu</t>
  </si>
  <si>
    <t>T0168</t>
  </si>
  <si>
    <t>teacher168@school.edu</t>
  </si>
  <si>
    <t>T0169</t>
  </si>
  <si>
    <t>teacher169@school.edu</t>
  </si>
  <si>
    <t>T0170</t>
  </si>
  <si>
    <t>teacher170@school.edu</t>
  </si>
  <si>
    <t>T0171</t>
  </si>
  <si>
    <t>teacher171@school.edu</t>
  </si>
  <si>
    <t>T0172</t>
  </si>
  <si>
    <t>teacher172@school.edu</t>
  </si>
  <si>
    <t>T0173</t>
  </si>
  <si>
    <t>teacher173@school.edu</t>
  </si>
  <si>
    <t>T0174</t>
  </si>
  <si>
    <t>teacher174@school.edu</t>
  </si>
  <si>
    <t>T0175</t>
  </si>
  <si>
    <t>teacher175@school.edu</t>
  </si>
  <si>
    <t>T0176</t>
  </si>
  <si>
    <t>teacher176@school.edu</t>
  </si>
  <si>
    <t>T0177</t>
  </si>
  <si>
    <t>teacher177@school.edu</t>
  </si>
  <si>
    <t>T0178</t>
  </si>
  <si>
    <t>teacher178@school.edu</t>
  </si>
  <si>
    <t>T0179</t>
  </si>
  <si>
    <t>teacher179@school.edu</t>
  </si>
  <si>
    <t>T0180</t>
  </si>
  <si>
    <t>teacher180@school.edu</t>
  </si>
  <si>
    <t>T0181</t>
  </si>
  <si>
    <t>teacher181@school.edu</t>
  </si>
  <si>
    <t>T0182</t>
  </si>
  <si>
    <t>teacher182@school.edu</t>
  </si>
  <si>
    <t>T0183</t>
  </si>
  <si>
    <t>teacher183@school.edu</t>
  </si>
  <si>
    <t>T0184</t>
  </si>
  <si>
    <t>teacher184@school.edu</t>
  </si>
  <si>
    <t>T0185</t>
  </si>
  <si>
    <t>teacher185@school.edu</t>
  </si>
  <si>
    <t>T0186</t>
  </si>
  <si>
    <t>teacher186@school.edu</t>
  </si>
  <si>
    <t>T0187</t>
  </si>
  <si>
    <t>teacher187@school.edu</t>
  </si>
  <si>
    <t>T0188</t>
  </si>
  <si>
    <t>teacher188@school.edu</t>
  </si>
  <si>
    <t>T0189</t>
  </si>
  <si>
    <t>teacher189@school.edu</t>
  </si>
  <si>
    <t>T0190</t>
  </si>
  <si>
    <t>teacher190@school.edu</t>
  </si>
  <si>
    <t>T0191</t>
  </si>
  <si>
    <t>teacher191@school.edu</t>
  </si>
  <si>
    <t>T0192</t>
  </si>
  <si>
    <t>teacher192@school.edu</t>
  </si>
  <si>
    <t>T0193</t>
  </si>
  <si>
    <t>teacher193@school.edu</t>
  </si>
  <si>
    <t>T0194</t>
  </si>
  <si>
    <t>teacher194@school.edu</t>
  </si>
  <si>
    <t>T0195</t>
  </si>
  <si>
    <t>teacher195@school.edu</t>
  </si>
  <si>
    <t>T0196</t>
  </si>
  <si>
    <t>teacher196@school.edu</t>
  </si>
  <si>
    <t>T0197</t>
  </si>
  <si>
    <t>teacher197@school.edu</t>
  </si>
  <si>
    <t>T0198</t>
  </si>
  <si>
    <t>teacher198@school.edu</t>
  </si>
  <si>
    <t>T0199</t>
  </si>
  <si>
    <t>teacher199@school.edu</t>
  </si>
  <si>
    <t>T0200</t>
  </si>
  <si>
    <t>teacher200@school.edu</t>
  </si>
  <si>
    <t>T0201</t>
  </si>
  <si>
    <t>teacher201@school.edu</t>
  </si>
  <si>
    <t>T0202</t>
  </si>
  <si>
    <t>teacher202@school.edu</t>
  </si>
  <si>
    <t>T0203</t>
  </si>
  <si>
    <t>teacher203@school.edu</t>
  </si>
  <si>
    <t>T0204</t>
  </si>
  <si>
    <t>teacher204@school.edu</t>
  </si>
  <si>
    <t>T0205</t>
  </si>
  <si>
    <t>teacher205@school.edu</t>
  </si>
  <si>
    <t>T0206</t>
  </si>
  <si>
    <t>teacher206@school.edu</t>
  </si>
  <si>
    <t>T0207</t>
  </si>
  <si>
    <t>teacher207@school.edu</t>
  </si>
  <si>
    <t>T0208</t>
  </si>
  <si>
    <t>teacher208@school.edu</t>
  </si>
  <si>
    <t>T0209</t>
  </si>
  <si>
    <t>teacher209@school.edu</t>
  </si>
  <si>
    <t>T0210</t>
  </si>
  <si>
    <t>teacher210@school.edu</t>
  </si>
  <si>
    <t>T0211</t>
  </si>
  <si>
    <t>teacher211@school.edu</t>
  </si>
  <si>
    <t>T0212</t>
  </si>
  <si>
    <t>teacher212@school.edu</t>
  </si>
  <si>
    <t>T0213</t>
  </si>
  <si>
    <t>teacher213@school.edu</t>
  </si>
  <si>
    <t>T0214</t>
  </si>
  <si>
    <t>teacher214@school.edu</t>
  </si>
  <si>
    <t>T0215</t>
  </si>
  <si>
    <t>teacher215@school.edu</t>
  </si>
  <si>
    <t>T0216</t>
  </si>
  <si>
    <t>teacher216@school.edu</t>
  </si>
  <si>
    <t>T0217</t>
  </si>
  <si>
    <t>teacher217@school.edu</t>
  </si>
  <si>
    <t>T0218</t>
  </si>
  <si>
    <t>teacher218@school.edu</t>
  </si>
  <si>
    <t>T0219</t>
  </si>
  <si>
    <t>teacher219@school.edu</t>
  </si>
  <si>
    <t>T0220</t>
  </si>
  <si>
    <t>teacher220@school.edu</t>
  </si>
  <si>
    <t>T0221</t>
  </si>
  <si>
    <t>teacher221@school.edu</t>
  </si>
  <si>
    <t>T0222</t>
  </si>
  <si>
    <t>teacher222@school.edu</t>
  </si>
  <si>
    <t>T0223</t>
  </si>
  <si>
    <t>teacher223@school.edu</t>
  </si>
  <si>
    <t>T0224</t>
  </si>
  <si>
    <t>teacher224@school.edu</t>
  </si>
  <si>
    <t>T0225</t>
  </si>
  <si>
    <t>teacher225@school.edu</t>
  </si>
  <si>
    <t>T0226</t>
  </si>
  <si>
    <t>teacher226@school.edu</t>
  </si>
  <si>
    <t>T0227</t>
  </si>
  <si>
    <t>teacher227@school.edu</t>
  </si>
  <si>
    <t>T0228</t>
  </si>
  <si>
    <t>teacher228@school.edu</t>
  </si>
  <si>
    <t>T0229</t>
  </si>
  <si>
    <t>teacher229@school.edu</t>
  </si>
  <si>
    <t>T0230</t>
  </si>
  <si>
    <t>teacher230@school.edu</t>
  </si>
  <si>
    <t>T0231</t>
  </si>
  <si>
    <t>teacher231@school.edu</t>
  </si>
  <si>
    <t>T0232</t>
  </si>
  <si>
    <t>teacher232@school.edu</t>
  </si>
  <si>
    <t>T0233</t>
  </si>
  <si>
    <t>teacher233@school.edu</t>
  </si>
  <si>
    <t>T0234</t>
  </si>
  <si>
    <t>teacher234@school.edu</t>
  </si>
  <si>
    <t>T0235</t>
  </si>
  <si>
    <t>teacher235@school.edu</t>
  </si>
  <si>
    <t>T0236</t>
  </si>
  <si>
    <t>teacher236@school.edu</t>
  </si>
  <si>
    <t>T0237</t>
  </si>
  <si>
    <t>teacher237@school.edu</t>
  </si>
  <si>
    <t>T0238</t>
  </si>
  <si>
    <t>teacher238@school.edu</t>
  </si>
  <si>
    <t>T0239</t>
  </si>
  <si>
    <t>teacher239@school.edu</t>
  </si>
  <si>
    <t>T0240</t>
  </si>
  <si>
    <t>teacher240@school.edu</t>
  </si>
  <si>
    <t>T0241</t>
  </si>
  <si>
    <t>teacher241@school.edu</t>
  </si>
  <si>
    <t>T0242</t>
  </si>
  <si>
    <t>teacher242@school.edu</t>
  </si>
  <si>
    <t>T0243</t>
  </si>
  <si>
    <t>teacher243@school.edu</t>
  </si>
  <si>
    <t>T0244</t>
  </si>
  <si>
    <t>teacher244@school.edu</t>
  </si>
  <si>
    <t>T0245</t>
  </si>
  <si>
    <t>teacher245@school.edu</t>
  </si>
  <si>
    <t>T0246</t>
  </si>
  <si>
    <t>teacher246@school.edu</t>
  </si>
  <si>
    <t>T0247</t>
  </si>
  <si>
    <t>teacher247@school.edu</t>
  </si>
  <si>
    <t>T0248</t>
  </si>
  <si>
    <t>teacher248@school.edu</t>
  </si>
  <si>
    <t>T0249</t>
  </si>
  <si>
    <t>teacher249@school.edu</t>
  </si>
  <si>
    <t>T0250</t>
  </si>
  <si>
    <t>teacher250@school.edu</t>
  </si>
  <si>
    <t>T0251</t>
  </si>
  <si>
    <t>teacher251@school.edu</t>
  </si>
  <si>
    <t>T0252</t>
  </si>
  <si>
    <t>teacher252@school.edu</t>
  </si>
  <si>
    <t>T0253</t>
  </si>
  <si>
    <t>teacher253@school.edu</t>
  </si>
  <si>
    <t>T0254</t>
  </si>
  <si>
    <t>teacher254@school.edu</t>
  </si>
  <si>
    <t>T0255</t>
  </si>
  <si>
    <t>teacher255@school.edu</t>
  </si>
  <si>
    <t>T0256</t>
  </si>
  <si>
    <t>teacher256@school.edu</t>
  </si>
  <si>
    <t>T0257</t>
  </si>
  <si>
    <t>teacher257@school.edu</t>
  </si>
  <si>
    <t>T0258</t>
  </si>
  <si>
    <t>teacher258@school.edu</t>
  </si>
  <si>
    <t>T0259</t>
  </si>
  <si>
    <t>teacher259@school.edu</t>
  </si>
  <si>
    <t>T0260</t>
  </si>
  <si>
    <t>teacher260@school.edu</t>
  </si>
  <si>
    <t>T0261</t>
  </si>
  <si>
    <t>teacher261@school.edu</t>
  </si>
  <si>
    <t>T0262</t>
  </si>
  <si>
    <t>teacher262@school.edu</t>
  </si>
  <si>
    <t>T0263</t>
  </si>
  <si>
    <t>teacher263@school.edu</t>
  </si>
  <si>
    <t>T0264</t>
  </si>
  <si>
    <t>teacher264@school.edu</t>
  </si>
  <si>
    <t>T0265</t>
  </si>
  <si>
    <t>teacher265@school.edu</t>
  </si>
  <si>
    <t>T0266</t>
  </si>
  <si>
    <t>teacher266@school.edu</t>
  </si>
  <si>
    <t>T0267</t>
  </si>
  <si>
    <t>teacher267@school.edu</t>
  </si>
  <si>
    <t>T0268</t>
  </si>
  <si>
    <t>teacher268@school.edu</t>
  </si>
  <si>
    <t>T0269</t>
  </si>
  <si>
    <t>teacher269@school.edu</t>
  </si>
  <si>
    <t>T0270</t>
  </si>
  <si>
    <t>teacher270@school.edu</t>
  </si>
  <si>
    <t>T0271</t>
  </si>
  <si>
    <t>teacher271@school.edu</t>
  </si>
  <si>
    <t>T0272</t>
  </si>
  <si>
    <t>teacher272@school.edu</t>
  </si>
  <si>
    <t>T0273</t>
  </si>
  <si>
    <t>teacher273@school.edu</t>
  </si>
  <si>
    <t>T0274</t>
  </si>
  <si>
    <t>teacher274@school.edu</t>
  </si>
  <si>
    <t>T0275</t>
  </si>
  <si>
    <t>teacher275@school.edu</t>
  </si>
  <si>
    <t>T0276</t>
  </si>
  <si>
    <t>teacher276@school.edu</t>
  </si>
  <si>
    <t>T0277</t>
  </si>
  <si>
    <t>teacher277@school.edu</t>
  </si>
  <si>
    <t>T0278</t>
  </si>
  <si>
    <t>teacher278@school.edu</t>
  </si>
  <si>
    <t>T0279</t>
  </si>
  <si>
    <t>teacher279@school.edu</t>
  </si>
  <si>
    <t>T0280</t>
  </si>
  <si>
    <t>teacher280@school.edu</t>
  </si>
  <si>
    <t>T0281</t>
  </si>
  <si>
    <t>teacher281@school.edu</t>
  </si>
  <si>
    <t>T0282</t>
  </si>
  <si>
    <t>teacher282@school.edu</t>
  </si>
  <si>
    <t>T0283</t>
  </si>
  <si>
    <t>teacher283@school.edu</t>
  </si>
  <si>
    <t>T0284</t>
  </si>
  <si>
    <t>teacher284@school.edu</t>
  </si>
  <si>
    <t>T0285</t>
  </si>
  <si>
    <t>teacher285@school.edu</t>
  </si>
  <si>
    <t>T0286</t>
  </si>
  <si>
    <t>teacher286@school.edu</t>
  </si>
  <si>
    <t>T0287</t>
  </si>
  <si>
    <t>teacher287@school.edu</t>
  </si>
  <si>
    <t>T0288</t>
  </si>
  <si>
    <t>teacher288@school.edu</t>
  </si>
  <si>
    <t>T0289</t>
  </si>
  <si>
    <t>teacher289@school.edu</t>
  </si>
  <si>
    <t>T0290</t>
  </si>
  <si>
    <t>teacher290@school.edu</t>
  </si>
  <si>
    <t>T0291</t>
  </si>
  <si>
    <t>teacher291@school.edu</t>
  </si>
  <si>
    <t>T0292</t>
  </si>
  <si>
    <t>teacher292@school.edu</t>
  </si>
  <si>
    <t>T0293</t>
  </si>
  <si>
    <t>teacher293@school.edu</t>
  </si>
  <si>
    <t>T0294</t>
  </si>
  <si>
    <t>teacher294@school.edu</t>
  </si>
  <si>
    <t>T0295</t>
  </si>
  <si>
    <t>teacher295@school.edu</t>
  </si>
  <si>
    <t>T0296</t>
  </si>
  <si>
    <t>teacher296@school.edu</t>
  </si>
  <si>
    <t>T0297</t>
  </si>
  <si>
    <t>teacher297@school.edu</t>
  </si>
  <si>
    <t>T0298</t>
  </si>
  <si>
    <t>teacher298@school.edu</t>
  </si>
  <si>
    <t>T0299</t>
  </si>
  <si>
    <t>teacher299@school.edu</t>
  </si>
  <si>
    <t>T0300</t>
  </si>
  <si>
    <t>teacher300@school.edu</t>
  </si>
  <si>
    <t>T0301</t>
  </si>
  <si>
    <t>teacher301@school.edu</t>
  </si>
  <si>
    <t>T0302</t>
  </si>
  <si>
    <t>teacher302@school.edu</t>
  </si>
  <si>
    <t>T0303</t>
  </si>
  <si>
    <t>teacher303@school.edu</t>
  </si>
  <si>
    <t>T0304</t>
  </si>
  <si>
    <t>teacher304@school.edu</t>
  </si>
  <si>
    <t>T0305</t>
  </si>
  <si>
    <t>teacher305@school.edu</t>
  </si>
  <si>
    <t>T0306</t>
  </si>
  <si>
    <t>teacher306@school.edu</t>
  </si>
  <si>
    <t>T0307</t>
  </si>
  <si>
    <t>teacher307@school.edu</t>
  </si>
  <si>
    <t>T0308</t>
  </si>
  <si>
    <t>teacher308@school.edu</t>
  </si>
  <si>
    <t>T0309</t>
  </si>
  <si>
    <t>teacher309@school.edu</t>
  </si>
  <si>
    <t>T0310</t>
  </si>
  <si>
    <t>teacher310@school.edu</t>
  </si>
  <si>
    <t>T0311</t>
  </si>
  <si>
    <t>teacher311@school.edu</t>
  </si>
  <si>
    <t>T0312</t>
  </si>
  <si>
    <t>teacher312@school.edu</t>
  </si>
  <si>
    <t>T0313</t>
  </si>
  <si>
    <t>teacher313@school.edu</t>
  </si>
  <si>
    <t>T0314</t>
  </si>
  <si>
    <t>teacher314@school.edu</t>
  </si>
  <si>
    <t>T0315</t>
  </si>
  <si>
    <t>teacher315@school.edu</t>
  </si>
  <si>
    <t>T0316</t>
  </si>
  <si>
    <t>teacher316@school.edu</t>
  </si>
  <si>
    <t>T0317</t>
  </si>
  <si>
    <t>teacher317@school.edu</t>
  </si>
  <si>
    <t>T0318</t>
  </si>
  <si>
    <t>teacher318@school.edu</t>
  </si>
  <si>
    <t>T0319</t>
  </si>
  <si>
    <t>teacher319@school.edu</t>
  </si>
  <si>
    <t>T0320</t>
  </si>
  <si>
    <t>teacher320@school.edu</t>
  </si>
  <si>
    <t>T0321</t>
  </si>
  <si>
    <t>teacher321@school.edu</t>
  </si>
  <si>
    <t>T0322</t>
  </si>
  <si>
    <t>teacher322@school.edu</t>
  </si>
  <si>
    <t>T0323</t>
  </si>
  <si>
    <t>teacher323@school.edu</t>
  </si>
  <si>
    <t>T0324</t>
  </si>
  <si>
    <t>teacher324@school.edu</t>
  </si>
  <si>
    <t>T0325</t>
  </si>
  <si>
    <t>teacher325@school.edu</t>
  </si>
  <si>
    <t>T0326</t>
  </si>
  <si>
    <t>teacher326@school.edu</t>
  </si>
  <si>
    <t>T0327</t>
  </si>
  <si>
    <t>teacher327@school.edu</t>
  </si>
  <si>
    <t>T0328</t>
  </si>
  <si>
    <t>teacher328@school.edu</t>
  </si>
  <si>
    <t>T0329</t>
  </si>
  <si>
    <t>teacher329@school.edu</t>
  </si>
  <si>
    <t>T0330</t>
  </si>
  <si>
    <t>teacher330@school.edu</t>
  </si>
  <si>
    <t>T0331</t>
  </si>
  <si>
    <t>teacher331@school.edu</t>
  </si>
  <si>
    <t>T0332</t>
  </si>
  <si>
    <t>teacher332@school.edu</t>
  </si>
  <si>
    <t>T0333</t>
  </si>
  <si>
    <t>teacher333@school.edu</t>
  </si>
  <si>
    <t>T0334</t>
  </si>
  <si>
    <t>teacher334@school.edu</t>
  </si>
  <si>
    <t>T0335</t>
  </si>
  <si>
    <t>teacher335@school.edu</t>
  </si>
  <si>
    <t>T0336</t>
  </si>
  <si>
    <t>teacher336@school.edu</t>
  </si>
  <si>
    <t>T0337</t>
  </si>
  <si>
    <t>teacher337@school.edu</t>
  </si>
  <si>
    <t>T0338</t>
  </si>
  <si>
    <t>teacher338@school.edu</t>
  </si>
  <si>
    <t>T0339</t>
  </si>
  <si>
    <t>teacher339@school.edu</t>
  </si>
  <si>
    <t>T0340</t>
  </si>
  <si>
    <t>teacher340@school.edu</t>
  </si>
  <si>
    <t>T0341</t>
  </si>
  <si>
    <t>teacher341@school.edu</t>
  </si>
  <si>
    <t>T0342</t>
  </si>
  <si>
    <t>teacher342@school.edu</t>
  </si>
  <si>
    <t>T0343</t>
  </si>
  <si>
    <t>teacher343@school.edu</t>
  </si>
  <si>
    <t>T0344</t>
  </si>
  <si>
    <t>teacher344@school.edu</t>
  </si>
  <si>
    <t>T0345</t>
  </si>
  <si>
    <t>teacher345@school.edu</t>
  </si>
  <si>
    <t>T0346</t>
  </si>
  <si>
    <t>teacher346@school.edu</t>
  </si>
  <si>
    <t>T0347</t>
  </si>
  <si>
    <t>teacher347@school.edu</t>
  </si>
  <si>
    <t>T0348</t>
  </si>
  <si>
    <t>teacher348@school.edu</t>
  </si>
  <si>
    <t>T0349</t>
  </si>
  <si>
    <t>teacher349@school.edu</t>
  </si>
  <si>
    <t>T0350</t>
  </si>
  <si>
    <t>teacher350@school.edu</t>
  </si>
  <si>
    <t>T0351</t>
  </si>
  <si>
    <t>teacher351@school.edu</t>
  </si>
  <si>
    <t>T0352</t>
  </si>
  <si>
    <t>teacher352@school.edu</t>
  </si>
  <si>
    <t>T0353</t>
  </si>
  <si>
    <t>teacher353@school.edu</t>
  </si>
  <si>
    <t>T0354</t>
  </si>
  <si>
    <t>teacher354@school.edu</t>
  </si>
  <si>
    <t>T0355</t>
  </si>
  <si>
    <t>teacher355@school.edu</t>
  </si>
  <si>
    <t>T0356</t>
  </si>
  <si>
    <t>teacher356@school.edu</t>
  </si>
  <si>
    <t>T0357</t>
  </si>
  <si>
    <t>teacher357@school.edu</t>
  </si>
  <si>
    <t>T0358</t>
  </si>
  <si>
    <t>teacher358@school.edu</t>
  </si>
  <si>
    <t>T0359</t>
  </si>
  <si>
    <t>teacher359@school.edu</t>
  </si>
  <si>
    <t>T0360</t>
  </si>
  <si>
    <t>teacher360@school.edu</t>
  </si>
  <si>
    <t>T0361</t>
  </si>
  <si>
    <t>teacher361@school.edu</t>
  </si>
  <si>
    <t>T0362</t>
  </si>
  <si>
    <t>teacher362@school.edu</t>
  </si>
  <si>
    <t>T0363</t>
  </si>
  <si>
    <t>teacher363@school.edu</t>
  </si>
  <si>
    <t>T0364</t>
  </si>
  <si>
    <t>teacher364@school.edu</t>
  </si>
  <si>
    <t>T0365</t>
  </si>
  <si>
    <t>teacher365@school.edu</t>
  </si>
  <si>
    <t>T0366</t>
  </si>
  <si>
    <t>teacher366@school.edu</t>
  </si>
  <si>
    <t>T0367</t>
  </si>
  <si>
    <t>teacher367@school.edu</t>
  </si>
  <si>
    <t>T0368</t>
  </si>
  <si>
    <t>teacher368@school.edu</t>
  </si>
  <si>
    <t>T0369</t>
  </si>
  <si>
    <t>teacher369@school.edu</t>
  </si>
  <si>
    <t>T0370</t>
  </si>
  <si>
    <t>teacher370@school.edu</t>
  </si>
  <si>
    <t>T0371</t>
  </si>
  <si>
    <t>teacher371@school.edu</t>
  </si>
  <si>
    <t>T0372</t>
  </si>
  <si>
    <t>teacher372@school.edu</t>
  </si>
  <si>
    <t>T0373</t>
  </si>
  <si>
    <t>teacher373@school.edu</t>
  </si>
  <si>
    <t>T0374</t>
  </si>
  <si>
    <t>teacher374@school.edu</t>
  </si>
  <si>
    <t>T0375</t>
  </si>
  <si>
    <t>teacher375@school.edu</t>
  </si>
  <si>
    <t>T0376</t>
  </si>
  <si>
    <t>teacher376@school.edu</t>
  </si>
  <si>
    <t>T0377</t>
  </si>
  <si>
    <t>teacher377@school.edu</t>
  </si>
  <si>
    <t>T0378</t>
  </si>
  <si>
    <t>teacher378@school.edu</t>
  </si>
  <si>
    <t>T0379</t>
  </si>
  <si>
    <t>teacher379@school.edu</t>
  </si>
  <si>
    <t>T0380</t>
  </si>
  <si>
    <t>teacher380@school.edu</t>
  </si>
  <si>
    <t>T0381</t>
  </si>
  <si>
    <t>teacher381@school.edu</t>
  </si>
  <si>
    <t>T0382</t>
  </si>
  <si>
    <t>teacher382@school.edu</t>
  </si>
  <si>
    <t>T0383</t>
  </si>
  <si>
    <t>teacher383@school.edu</t>
  </si>
  <si>
    <t>T0384</t>
  </si>
  <si>
    <t>teacher384@school.edu</t>
  </si>
  <si>
    <t>T0385</t>
  </si>
  <si>
    <t>teacher385@school.edu</t>
  </si>
  <si>
    <t>T0386</t>
  </si>
  <si>
    <t>teacher386@school.edu</t>
  </si>
  <si>
    <t>T0387</t>
  </si>
  <si>
    <t>teacher387@school.edu</t>
  </si>
  <si>
    <t>T0388</t>
  </si>
  <si>
    <t>teacher388@school.edu</t>
  </si>
  <si>
    <t>T0389</t>
  </si>
  <si>
    <t>teacher389@school.edu</t>
  </si>
  <si>
    <t>T0390</t>
  </si>
  <si>
    <t>teacher390@school.edu</t>
  </si>
  <si>
    <t>T0391</t>
  </si>
  <si>
    <t>teacher391@school.edu</t>
  </si>
  <si>
    <t>T0392</t>
  </si>
  <si>
    <t>teacher392@school.edu</t>
  </si>
  <si>
    <t>T0393</t>
  </si>
  <si>
    <t>teacher393@school.edu</t>
  </si>
  <si>
    <t>T0394</t>
  </si>
  <si>
    <t>teacher394@school.edu</t>
  </si>
  <si>
    <t>T0395</t>
  </si>
  <si>
    <t>teacher395@school.edu</t>
  </si>
  <si>
    <t>T0396</t>
  </si>
  <si>
    <t>teacher396@school.edu</t>
  </si>
  <si>
    <t>T0397</t>
  </si>
  <si>
    <t>teacher397@school.edu</t>
  </si>
  <si>
    <t>T0398</t>
  </si>
  <si>
    <t>teacher398@school.edu</t>
  </si>
  <si>
    <t>T0399</t>
  </si>
  <si>
    <t>teacher399@school.edu</t>
  </si>
  <si>
    <t>T0400</t>
  </si>
  <si>
    <t>teacher400@school.edu</t>
  </si>
  <si>
    <t>T0401</t>
  </si>
  <si>
    <t>teacher401@school.edu</t>
  </si>
  <si>
    <t>T0402</t>
  </si>
  <si>
    <t>teacher402@school.edu</t>
  </si>
  <si>
    <t>T0403</t>
  </si>
  <si>
    <t>teacher403@school.edu</t>
  </si>
  <si>
    <t>T0404</t>
  </si>
  <si>
    <t>teacher404@school.edu</t>
  </si>
  <si>
    <t>T0405</t>
  </si>
  <si>
    <t>teacher405@school.edu</t>
  </si>
  <si>
    <t>T0406</t>
  </si>
  <si>
    <t>teacher406@school.edu</t>
  </si>
  <si>
    <t>T0407</t>
  </si>
  <si>
    <t>teacher407@school.edu</t>
  </si>
  <si>
    <t>T0408</t>
  </si>
  <si>
    <t>teacher408@school.edu</t>
  </si>
  <si>
    <t>T0409</t>
  </si>
  <si>
    <t>teacher409@school.edu</t>
  </si>
  <si>
    <t>T0410</t>
  </si>
  <si>
    <t>teacher410@school.edu</t>
  </si>
  <si>
    <t>T0411</t>
  </si>
  <si>
    <t>teacher411@school.edu</t>
  </si>
  <si>
    <t>T0412</t>
  </si>
  <si>
    <t>teacher412@school.edu</t>
  </si>
  <si>
    <t>T0413</t>
  </si>
  <si>
    <t>teacher413@school.edu</t>
  </si>
  <si>
    <t>T0414</t>
  </si>
  <si>
    <t>teacher414@school.edu</t>
  </si>
  <si>
    <t>T0415</t>
  </si>
  <si>
    <t>teacher415@school.edu</t>
  </si>
  <si>
    <t>T0416</t>
  </si>
  <si>
    <t>teacher416@school.edu</t>
  </si>
  <si>
    <t>T0417</t>
  </si>
  <si>
    <t>teacher417@school.edu</t>
  </si>
  <si>
    <t>T0418</t>
  </si>
  <si>
    <t>teacher418@school.edu</t>
  </si>
  <si>
    <t>T0419</t>
  </si>
  <si>
    <t>teacher419@school.edu</t>
  </si>
  <si>
    <t>T0420</t>
  </si>
  <si>
    <t>teacher420@school.edu</t>
  </si>
  <si>
    <t>T0421</t>
  </si>
  <si>
    <t>teacher421@school.edu</t>
  </si>
  <si>
    <t>T0422</t>
  </si>
  <si>
    <t>teacher422@school.edu</t>
  </si>
  <si>
    <t>T0423</t>
  </si>
  <si>
    <t>teacher423@school.edu</t>
  </si>
  <si>
    <t>T0424</t>
  </si>
  <si>
    <t>teacher424@school.edu</t>
  </si>
  <si>
    <t>T0425</t>
  </si>
  <si>
    <t>teacher425@school.edu</t>
  </si>
  <si>
    <t>T0426</t>
  </si>
  <si>
    <t>teacher426@school.edu</t>
  </si>
  <si>
    <t>T0427</t>
  </si>
  <si>
    <t>teacher427@school.edu</t>
  </si>
  <si>
    <t>T0428</t>
  </si>
  <si>
    <t>teacher428@school.edu</t>
  </si>
  <si>
    <t>T0429</t>
  </si>
  <si>
    <t>teacher429@school.edu</t>
  </si>
  <si>
    <t>T0430</t>
  </si>
  <si>
    <t>teacher430@school.edu</t>
  </si>
  <si>
    <t>T0431</t>
  </si>
  <si>
    <t>teacher431@school.edu</t>
  </si>
  <si>
    <t>T0432</t>
  </si>
  <si>
    <t>teacher432@school.edu</t>
  </si>
  <si>
    <t>T0433</t>
  </si>
  <si>
    <t>teacher433@school.edu</t>
  </si>
  <si>
    <t>T0434</t>
  </si>
  <si>
    <t>teacher434@school.edu</t>
  </si>
  <si>
    <t>T0435</t>
  </si>
  <si>
    <t>teacher435@school.edu</t>
  </si>
  <si>
    <t>T0436</t>
  </si>
  <si>
    <t>teacher436@school.edu</t>
  </si>
  <si>
    <t>T0437</t>
  </si>
  <si>
    <t>teacher437@school.edu</t>
  </si>
  <si>
    <t>T0438</t>
  </si>
  <si>
    <t>teacher438@school.edu</t>
  </si>
  <si>
    <t>T0439</t>
  </si>
  <si>
    <t>teacher439@school.edu</t>
  </si>
  <si>
    <t>T0440</t>
  </si>
  <si>
    <t>teacher440@school.edu</t>
  </si>
  <si>
    <t>T0441</t>
  </si>
  <si>
    <t>teacher441@school.edu</t>
  </si>
  <si>
    <t>T0442</t>
  </si>
  <si>
    <t>teacher442@school.edu</t>
  </si>
  <si>
    <t>T0443</t>
  </si>
  <si>
    <t>teacher443@school.edu</t>
  </si>
  <si>
    <t>T0444</t>
  </si>
  <si>
    <t>teacher444@school.edu</t>
  </si>
  <si>
    <t>T0445</t>
  </si>
  <si>
    <t>teacher445@school.edu</t>
  </si>
  <si>
    <t>T0446</t>
  </si>
  <si>
    <t>teacher446@school.edu</t>
  </si>
  <si>
    <t>T0447</t>
  </si>
  <si>
    <t>teacher447@school.edu</t>
  </si>
  <si>
    <t>T0448</t>
  </si>
  <si>
    <t>teacher448@school.edu</t>
  </si>
  <si>
    <t>T0449</t>
  </si>
  <si>
    <t>teacher449@school.edu</t>
  </si>
  <si>
    <t>T0450</t>
  </si>
  <si>
    <t>teacher450@school.edu</t>
  </si>
  <si>
    <t>T0451</t>
  </si>
  <si>
    <t>teacher451@school.edu</t>
  </si>
  <si>
    <t>T0452</t>
  </si>
  <si>
    <t>teacher452@school.edu</t>
  </si>
  <si>
    <t>T0453</t>
  </si>
  <si>
    <t>teacher453@school.edu</t>
  </si>
  <si>
    <t>T0454</t>
  </si>
  <si>
    <t>teacher454@school.edu</t>
  </si>
  <si>
    <t>T0455</t>
  </si>
  <si>
    <t>teacher455@school.edu</t>
  </si>
  <si>
    <t>T0456</t>
  </si>
  <si>
    <t>teacher456@school.edu</t>
  </si>
  <si>
    <t>T0457</t>
  </si>
  <si>
    <t>teacher457@school.edu</t>
  </si>
  <si>
    <t>T0458</t>
  </si>
  <si>
    <t>teacher458@school.edu</t>
  </si>
  <si>
    <t>T0459</t>
  </si>
  <si>
    <t>teacher459@school.edu</t>
  </si>
  <si>
    <t>T0460</t>
  </si>
  <si>
    <t>teacher460@school.edu</t>
  </si>
  <si>
    <t>T0461</t>
  </si>
  <si>
    <t>teacher461@school.edu</t>
  </si>
  <si>
    <t>T0462</t>
  </si>
  <si>
    <t>teacher462@school.edu</t>
  </si>
  <si>
    <t>T0463</t>
  </si>
  <si>
    <t>teacher463@school.edu</t>
  </si>
  <si>
    <t>T0464</t>
  </si>
  <si>
    <t>teacher464@school.edu</t>
  </si>
  <si>
    <t>T0465</t>
  </si>
  <si>
    <t>teacher465@school.edu</t>
  </si>
  <si>
    <t>T0466</t>
  </si>
  <si>
    <t>teacher466@school.edu</t>
  </si>
  <si>
    <t>T0467</t>
  </si>
  <si>
    <t>teacher467@school.edu</t>
  </si>
  <si>
    <t>T0468</t>
  </si>
  <si>
    <t>teacher468@school.edu</t>
  </si>
  <si>
    <t>T0469</t>
  </si>
  <si>
    <t>teacher469@school.edu</t>
  </si>
  <si>
    <t>T0470</t>
  </si>
  <si>
    <t>teacher470@school.edu</t>
  </si>
  <si>
    <t>T0471</t>
  </si>
  <si>
    <t>teacher471@school.edu</t>
  </si>
  <si>
    <t>T0472</t>
  </si>
  <si>
    <t>teacher472@school.edu</t>
  </si>
  <si>
    <t>T0473</t>
  </si>
  <si>
    <t>teacher473@school.edu</t>
  </si>
  <si>
    <t>T0474</t>
  </si>
  <si>
    <t>teacher474@school.edu</t>
  </si>
  <si>
    <t>T0475</t>
  </si>
  <si>
    <t>teacher475@school.edu</t>
  </si>
  <si>
    <t>T0476</t>
  </si>
  <si>
    <t>teacher476@school.edu</t>
  </si>
  <si>
    <t>T0477</t>
  </si>
  <si>
    <t>teacher477@school.edu</t>
  </si>
  <si>
    <t>T0478</t>
  </si>
  <si>
    <t>teacher478@school.edu</t>
  </si>
  <si>
    <t>T0479</t>
  </si>
  <si>
    <t>teacher479@school.edu</t>
  </si>
  <si>
    <t>T0480</t>
  </si>
  <si>
    <t>teacher480@school.edu</t>
  </si>
  <si>
    <t>T0481</t>
  </si>
  <si>
    <t>teacher481@school.edu</t>
  </si>
  <si>
    <t>T0482</t>
  </si>
  <si>
    <t>teacher482@school.edu</t>
  </si>
  <si>
    <t>T0483</t>
  </si>
  <si>
    <t>teacher483@school.edu</t>
  </si>
  <si>
    <t>T0484</t>
  </si>
  <si>
    <t>teacher484@school.edu</t>
  </si>
  <si>
    <t>T0485</t>
  </si>
  <si>
    <t>teacher485@school.edu</t>
  </si>
  <si>
    <t>T0486</t>
  </si>
  <si>
    <t>teacher486@school.edu</t>
  </si>
  <si>
    <t>T0487</t>
  </si>
  <si>
    <t>teacher487@school.edu</t>
  </si>
  <si>
    <t>T0488</t>
  </si>
  <si>
    <t>teacher488@school.edu</t>
  </si>
  <si>
    <t>T0489</t>
  </si>
  <si>
    <t>teacher489@school.edu</t>
  </si>
  <si>
    <t>T0490</t>
  </si>
  <si>
    <t>teacher490@school.edu</t>
  </si>
  <si>
    <t>T0491</t>
  </si>
  <si>
    <t>teacher491@school.edu</t>
  </si>
  <si>
    <t>T0492</t>
  </si>
  <si>
    <t>teacher492@school.edu</t>
  </si>
  <si>
    <t>T0493</t>
  </si>
  <si>
    <t>teacher493@school.edu</t>
  </si>
  <si>
    <t>T0494</t>
  </si>
  <si>
    <t>teacher494@school.edu</t>
  </si>
  <si>
    <t>T0495</t>
  </si>
  <si>
    <t>teacher495@school.edu</t>
  </si>
  <si>
    <t>T0496</t>
  </si>
  <si>
    <t>teacher496@school.edu</t>
  </si>
  <si>
    <t>T0497</t>
  </si>
  <si>
    <t>teacher497@school.edu</t>
  </si>
  <si>
    <t>T0498</t>
  </si>
  <si>
    <t>teacher498@school.edu</t>
  </si>
  <si>
    <t>T0499</t>
  </si>
  <si>
    <t>teacher499@school.edu</t>
  </si>
  <si>
    <t>T0500</t>
  </si>
  <si>
    <t>teacher500@school.edu</t>
  </si>
  <si>
    <t>Certificate_Status_Clean</t>
  </si>
  <si>
    <t>Completed_Flag</t>
  </si>
  <si>
    <t>Enrollment_Flag</t>
  </si>
  <si>
    <t>Training_Duration_Days</t>
  </si>
  <si>
    <t>Experience_Band</t>
  </si>
  <si>
    <t>Row Labels</t>
  </si>
  <si>
    <t>Grand Total</t>
  </si>
  <si>
    <t>Sum of Enrollment_Flag</t>
  </si>
  <si>
    <t>Total Teachers</t>
  </si>
  <si>
    <t>Sum of Completed_Flag</t>
  </si>
  <si>
    <t>Total_Enrolled</t>
  </si>
  <si>
    <t>Sum of Completion Rate</t>
  </si>
  <si>
    <t>Total_Teachers</t>
  </si>
  <si>
    <t>Sum of State Completion %</t>
  </si>
  <si>
    <t>0-5 Years</t>
  </si>
  <si>
    <t>11-20 Years</t>
  </si>
  <si>
    <t>20+ Years</t>
  </si>
  <si>
    <t>5-10 Years</t>
  </si>
  <si>
    <t>Experience vs Completion</t>
  </si>
  <si>
    <t>Mode of Training Effectiveness</t>
  </si>
  <si>
    <t>Average of Training_Hours</t>
  </si>
  <si>
    <t>Count of Completion_Status</t>
  </si>
  <si>
    <t xml:space="preserve"> Teacher Upskilling Dashboard </t>
  </si>
  <si>
    <t>(All)</t>
  </si>
  <si>
    <t>Details for Total_Teachers - State: Kerala</t>
  </si>
  <si>
    <t>Top courses</t>
  </si>
  <si>
    <t>Max Enrolment</t>
  </si>
  <si>
    <t>Completation rate</t>
  </si>
  <si>
    <t>Best state</t>
  </si>
  <si>
    <t>Best Mode</t>
  </si>
  <si>
    <t>Max Completion %</t>
  </si>
  <si>
    <t>Average of Completion Rate</t>
  </si>
  <si>
    <t>Experience Band Insight</t>
  </si>
  <si>
    <t>Key Insights</t>
  </si>
  <si>
    <t>Completed Percentage</t>
  </si>
  <si>
    <t>Course-wise Enrollment</t>
  </si>
  <si>
    <t>State-wise Distribution</t>
  </si>
  <si>
    <t>Completion Rate by Course</t>
  </si>
  <si>
    <t>Interactive analysis of course enrollment, completion, and regional performance</t>
  </si>
  <si>
    <t>• Use slicers to filter by course, state, or mode</t>
  </si>
  <si>
    <t>• Charts and insights update automatically</t>
  </si>
  <si>
    <t>• Click chart bars to drill down (where applicable)</t>
  </si>
  <si>
    <t>How to use:</t>
  </si>
  <si>
    <t>1.Course-wise Teacher Enrollment</t>
  </si>
  <si>
    <t>2.Course-wise Completion Rate</t>
  </si>
  <si>
    <t>3.State-wise Teacher Distribution</t>
  </si>
  <si>
    <t>4.State-wise Completion Performance</t>
  </si>
  <si>
    <t>5.Experience vs Completion</t>
  </si>
  <si>
    <t>6.Mode of Training Effectiveness</t>
  </si>
  <si>
    <t>7.Training Hours Insight</t>
  </si>
  <si>
    <t>8.Teacher Drill-Down Table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</si>
</sst>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0" x14ac:knownFonts="1">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hadow/>
      <sz val="20"/>
      <color rgb="FFFF0000"/>
      <name val="Algerian"/>
      <family val="5"/>
    </font>
    <font>
      <b/>
      <sz val="20"/>
      <color rgb="FFFF0000"/>
      <name val="Algerian"/>
      <family val="5"/>
    </font>
    <font>
      <b/>
      <sz val="36"/>
      <color theme="1"/>
      <name val="Algerian"/>
      <family val="5"/>
    </font>
    <font>
      <b/>
      <sz val="12"/>
      <color theme="1"/>
      <name val="Algerian"/>
      <family val="5"/>
    </font>
    <font>
      <b/>
      <sz val="12"/>
      <color rgb="FFFF0000"/>
      <name val="Algerian"/>
      <family val="5"/>
    </font>
    <font>
      <b/>
      <sz val="12"/>
      <color rgb="FFFF0000"/>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0" fillId="2" borderId="0" xfId="0" applyFill="1"/>
    <xf numFmtId="9" fontId="0" fillId="2" borderId="0" xfId="1" applyFont="1" applyFill="1"/>
    <xf numFmtId="10" fontId="0" fillId="2" borderId="0" xfId="0" applyNumberFormat="1" applyFill="1"/>
    <xf numFmtId="0" fontId="1" fillId="0" borderId="0" xfId="0" applyFont="1" applyAlignment="1">
      <alignment horizontal="center"/>
    </xf>
    <xf numFmtId="0" fontId="0" fillId="0" borderId="0" xfId="0" applyNumberFormat="1"/>
    <xf numFmtId="0" fontId="4" fillId="2" borderId="0" xfId="0" applyFont="1" applyFill="1" applyAlignment="1">
      <alignment horizontal="center" vertical="center" readingOrder="1"/>
    </xf>
    <xf numFmtId="0" fontId="5" fillId="2" borderId="0" xfId="0" applyFont="1" applyFill="1" applyAlignment="1">
      <alignment horizontal="center" vertical="center" readingOrder="1"/>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9" fillId="2" borderId="0" xfId="0" applyFont="1" applyFill="1" applyAlignment="1">
      <alignment horizontal="center"/>
    </xf>
    <xf numFmtId="0" fontId="0" fillId="2" borderId="0" xfId="0" applyFill="1" applyAlignment="1">
      <alignment wrapText="1"/>
    </xf>
  </cellXfs>
  <cellStyles count="2">
    <cellStyle name="Normal" xfId="0" builtinId="0"/>
    <cellStyle name="Percent" xfId="1" builtinId="5"/>
  </cellStyles>
  <dxfs count="8">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dd/mmm/yyyy"/>
    </dxf>
    <dxf>
      <numFmt numFmtId="164" formatCode="dd/m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[Teachers_Upskilling_DashBoard.xlsx]Pivots!pivot 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5000"/>
                  <a:lumOff val="95000"/>
                </a:schemeClr>
              </a:gs>
              <a:gs pos="25000">
                <a:schemeClr val="accent1">
                  <a:lumMod val="45000"/>
                  <a:lumOff val="55000"/>
                </a:schemeClr>
              </a:gs>
              <a:gs pos="48000">
                <a:srgbClr val="0070C0"/>
              </a:gs>
              <a:gs pos="100000">
                <a:srgbClr val="0070C0"/>
              </a:gs>
            </a:gsLst>
            <a:lin ang="5400000" scaled="1"/>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gradFill rotWithShape="1">
              <a:gsLst>
                <a:gs pos="0">
                  <a:schemeClr val="accent1">
                    <a:lumMod val="5000"/>
                    <a:lumOff val="95000"/>
                  </a:schemeClr>
                </a:gs>
                <a:gs pos="25000">
                  <a:schemeClr val="accent1">
                    <a:lumMod val="45000"/>
                    <a:lumOff val="55000"/>
                  </a:schemeClr>
                </a:gs>
                <a:gs pos="48000">
                  <a:srgbClr val="0070C0"/>
                </a:gs>
                <a:gs pos="100000">
                  <a:srgbClr val="0070C0"/>
                </a:gs>
              </a:gsLst>
              <a:lin ang="5400000" scaled="1"/>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Pivots!$A$4:$A$9</c:f>
              <c:strCache>
                <c:ptCount val="5"/>
                <c:pt idx="0">
                  <c:v>Inclusive Education</c:v>
                </c:pt>
                <c:pt idx="1">
                  <c:v>EdTech Tools</c:v>
                </c:pt>
                <c:pt idx="2">
                  <c:v>Digital Teaching</c:v>
                </c:pt>
                <c:pt idx="3">
                  <c:v>Classroom Management</c:v>
                </c:pt>
                <c:pt idx="4">
                  <c:v>Assessment Skills</c:v>
                </c:pt>
              </c:strCache>
            </c:strRef>
          </c:cat>
          <c:val>
            <c:numRef>
              <c:f>Pivots!$B$4:$B$9</c:f>
              <c:numCache>
                <c:formatCode>General</c:formatCode>
                <c:ptCount val="5"/>
                <c:pt idx="0">
                  <c:v>119</c:v>
                </c:pt>
                <c:pt idx="1">
                  <c:v>102</c:v>
                </c:pt>
                <c:pt idx="2">
                  <c:v>93</c:v>
                </c:pt>
                <c:pt idx="3">
                  <c:v>96</c:v>
                </c:pt>
                <c:pt idx="4">
                  <c:v>90</c:v>
                </c:pt>
              </c:numCache>
            </c:numRef>
          </c:val>
          <c:extLst>
            <c:ext xmlns:c16="http://schemas.microsoft.com/office/drawing/2014/chart" uri="{C3380CC4-5D6E-409C-BE32-E72D297353CC}">
              <c16:uniqueId val="{00000000-6CEB-40F8-BE0A-675F338189D7}"/>
            </c:ext>
          </c:extLst>
        </c:ser>
        <c:dLbls>
          <c:dLblPos val="outEnd"/>
          <c:showLegendKey val="0"/>
          <c:showVal val="1"/>
          <c:showCatName val="0"/>
          <c:showSerName val="0"/>
          <c:showPercent val="0"/>
          <c:showBubbleSize val="0"/>
        </c:dLbls>
        <c:gapWidth val="100"/>
        <c:axId val="527400095"/>
        <c:axId val="527390015"/>
      </c:barChart>
      <c:catAx>
        <c:axId val="5274000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crossAx val="527390015"/>
        <c:crosses val="autoZero"/>
        <c:auto val="1"/>
        <c:lblAlgn val="ctr"/>
        <c:lblOffset val="100"/>
        <c:noMultiLvlLbl val="0"/>
      </c:catAx>
      <c:valAx>
        <c:axId val="527390015"/>
        <c:scaling>
          <c:orientation val="minMax"/>
        </c:scaling>
        <c:delete val="0"/>
        <c:axPos val="b"/>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crossAx val="52740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effectLst>
                <a:outerShdw blurRad="50800" dist="50800" dir="5400000" algn="ctr" rotWithShape="0">
                  <a:schemeClr val="bg2"/>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1000"/>
            <a:lumOff val="99000"/>
          </a:schemeClr>
        </a:gs>
        <a:gs pos="25000">
          <a:schemeClr val="accent1">
            <a:lumMod val="45000"/>
            <a:lumOff val="55000"/>
          </a:schemeClr>
        </a:gs>
        <a:gs pos="48000">
          <a:schemeClr val="accent1">
            <a:lumMod val="45000"/>
            <a:lumOff val="55000"/>
          </a:schemeClr>
        </a:gs>
        <a:gs pos="100000">
          <a:schemeClr val="accent6"/>
        </a:gs>
      </a:gsLst>
      <a:lin ang="5400000" scaled="1"/>
    </a:gradFill>
    <a:ln w="9525" cap="flat" cmpd="sng" algn="ctr">
      <a:noFill/>
      <a:round/>
    </a:ln>
    <a:effectLst/>
    <a:scene3d>
      <a:camera prst="orthographicFront"/>
      <a:lightRig rig="threePt" dir="t"/>
    </a:scene3d>
    <a:sp3d>
      <a:bevelT/>
      <a:bevelB/>
    </a:sp3d>
  </c:spPr>
  <c:txPr>
    <a:bodyPr/>
    <a:lstStyle/>
    <a:p>
      <a:pPr>
        <a:defRPr sz="1000">
          <a:ln>
            <a:noFill/>
          </a:ln>
          <a:solidFill>
            <a:schemeClr val="tx1"/>
          </a:solidFill>
          <a:effectLst>
            <a:outerShdw blurRad="50800" dist="50800" dir="5400000" algn="ctr" rotWithShape="0">
              <a:schemeClr val="bg2"/>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[Teachers_Upskilling_DashBoard.xlsx]Pivots!PivotTable4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33000">
                <a:schemeClr val="accent1">
                  <a:lumMod val="45000"/>
                  <a:lumOff val="55000"/>
                </a:schemeClr>
              </a:gs>
              <a:gs pos="14000">
                <a:srgbClr val="D4E0EF"/>
              </a:gs>
              <a:gs pos="52000">
                <a:srgbClr val="0070C0"/>
              </a:gs>
              <a:gs pos="100000">
                <a:srgbClr val="0070C0"/>
              </a:gs>
            </a:gsLst>
            <a:lin ang="5400000" scaled="1"/>
          </a:gradFill>
          <a:ln>
            <a:noFill/>
          </a:ln>
          <a:effectLst>
            <a:outerShdw blurRad="50800" dist="38100" dir="2700000" algn="tl" rotWithShape="0">
              <a:schemeClr val="tx1">
                <a:alpha val="4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Pivots!$B$19</c:f>
              <c:strCache>
                <c:ptCount val="1"/>
                <c:pt idx="0">
                  <c:v>Total</c:v>
                </c:pt>
              </c:strCache>
            </c:strRef>
          </c:tx>
          <c:spPr>
            <a:gradFill>
              <a:gsLst>
                <a:gs pos="0">
                  <a:schemeClr val="accent1">
                    <a:lumMod val="5000"/>
                    <a:lumOff val="95000"/>
                  </a:schemeClr>
                </a:gs>
                <a:gs pos="33000">
                  <a:schemeClr val="accent1">
                    <a:lumMod val="45000"/>
                    <a:lumOff val="55000"/>
                  </a:schemeClr>
                </a:gs>
                <a:gs pos="14000">
                  <a:srgbClr val="D4E0EF"/>
                </a:gs>
                <a:gs pos="52000">
                  <a:srgbClr val="0070C0"/>
                </a:gs>
                <a:gs pos="100000">
                  <a:srgbClr val="0070C0"/>
                </a:gs>
              </a:gsLst>
              <a:lin ang="5400000" scaled="1"/>
            </a:gradFill>
            <a:ln>
              <a:noFill/>
            </a:ln>
            <a:effectLst>
              <a:outerShdw blurRad="50800" dist="38100" dir="2700000" algn="tl" rotWithShape="0">
                <a:schemeClr val="tx1">
                  <a:alpha val="40000"/>
                </a:scheme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Pivots!$A$20:$A$25</c:f>
              <c:strCache>
                <c:ptCount val="5"/>
                <c:pt idx="0">
                  <c:v>Delhi</c:v>
                </c:pt>
                <c:pt idx="1">
                  <c:v>Karnataka</c:v>
                </c:pt>
                <c:pt idx="2">
                  <c:v>Kerala</c:v>
                </c:pt>
                <c:pt idx="3">
                  <c:v>Maharashtra</c:v>
                </c:pt>
                <c:pt idx="4">
                  <c:v>Tamil Nadu</c:v>
                </c:pt>
              </c:strCache>
            </c:strRef>
          </c:cat>
          <c:val>
            <c:numRef>
              <c:f>Pivots!$B$20:$B$25</c:f>
              <c:numCache>
                <c:formatCode>General</c:formatCode>
                <c:ptCount val="5"/>
                <c:pt idx="0">
                  <c:v>96</c:v>
                </c:pt>
                <c:pt idx="1">
                  <c:v>102</c:v>
                </c:pt>
                <c:pt idx="2">
                  <c:v>103</c:v>
                </c:pt>
                <c:pt idx="3">
                  <c:v>106</c:v>
                </c:pt>
                <c:pt idx="4">
                  <c:v>93</c:v>
                </c:pt>
              </c:numCache>
            </c:numRef>
          </c:val>
          <c:extLst>
            <c:ext xmlns:c16="http://schemas.microsoft.com/office/drawing/2014/chart" uri="{C3380CC4-5D6E-409C-BE32-E72D297353CC}">
              <c16:uniqueId val="{00000000-1967-47B7-B166-3BF7EA0C7A1B}"/>
            </c:ext>
          </c:extLst>
        </c:ser>
        <c:dLbls>
          <c:dLblPos val="outEnd"/>
          <c:showLegendKey val="0"/>
          <c:showVal val="1"/>
          <c:showCatName val="0"/>
          <c:showSerName val="0"/>
          <c:showPercent val="0"/>
          <c:showBubbleSize val="0"/>
        </c:dLbls>
        <c:gapWidth val="182"/>
        <c:axId val="527413535"/>
        <c:axId val="527411135"/>
      </c:barChart>
      <c:catAx>
        <c:axId val="52741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tx1">
                    <a:alpha val="85000"/>
                  </a:schemeClr>
                </a:solidFill>
                <a:effectLst>
                  <a:outerShdw blurRad="50800" dist="38100" dir="5400000" algn="t" rotWithShape="0">
                    <a:prstClr val="black">
                      <a:alpha val="40000"/>
                    </a:prstClr>
                  </a:outerShdw>
                </a:effectLst>
                <a:latin typeface="+mn-lt"/>
                <a:ea typeface="+mn-ea"/>
                <a:cs typeface="+mn-cs"/>
              </a:defRPr>
            </a:pPr>
            <a:endParaRPr lang="en-US"/>
          </a:p>
        </c:txPr>
        <c:crossAx val="527411135"/>
        <c:crosses val="autoZero"/>
        <c:auto val="1"/>
        <c:lblAlgn val="ctr"/>
        <c:lblOffset val="100"/>
        <c:noMultiLvlLbl val="0"/>
      </c:catAx>
      <c:valAx>
        <c:axId val="527411135"/>
        <c:scaling>
          <c:orientation val="minMax"/>
        </c:scaling>
        <c:delete val="0"/>
        <c:axPos val="b"/>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alpha val="85000"/>
                  </a:schemeClr>
                </a:solidFill>
                <a:effectLst>
                  <a:outerShdw blurRad="50800" dist="38100" dir="5400000" algn="t" rotWithShape="0">
                    <a:prstClr val="black">
                      <a:alpha val="40000"/>
                    </a:prstClr>
                  </a:outerShdw>
                </a:effectLst>
                <a:latin typeface="+mn-lt"/>
                <a:ea typeface="+mn-ea"/>
                <a:cs typeface="+mn-cs"/>
              </a:defRPr>
            </a:pPr>
            <a:endParaRPr lang="en-US"/>
          </a:p>
        </c:txPr>
        <c:crossAx val="5274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alpha val="85000"/>
                </a:schemeClr>
              </a:solidFill>
              <a:effectLst>
                <a:outerShdw blurRad="50800" dist="38100" dir="5400000" algn="t"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3000">
          <a:schemeClr val="accent1">
            <a:lumMod val="45000"/>
            <a:lumOff val="55000"/>
          </a:schemeClr>
        </a:gs>
        <a:gs pos="52000">
          <a:schemeClr val="accent1">
            <a:lumMod val="45000"/>
            <a:lumOff val="55000"/>
          </a:schemeClr>
        </a:gs>
        <a:gs pos="90905">
          <a:schemeClr val="accent6"/>
        </a:gs>
        <a:gs pos="99000">
          <a:schemeClr val="accent6"/>
        </a:gs>
      </a:gsLst>
      <a:lin ang="5400000" scaled="1"/>
    </a:gradFill>
    <a:ln w="9525" cap="flat" cmpd="sng" algn="ctr">
      <a:gradFill>
        <a:gsLst>
          <a:gs pos="4895">
            <a:schemeClr val="bg1"/>
          </a:gs>
          <a:gs pos="83000">
            <a:schemeClr val="accent1">
              <a:lumMod val="45000"/>
              <a:lumOff val="55000"/>
            </a:schemeClr>
          </a:gs>
          <a:gs pos="90905">
            <a:schemeClr val="accent6"/>
          </a:gs>
          <a:gs pos="100000">
            <a:srgbClr val="0070C0"/>
          </a:gs>
        </a:gsLst>
        <a:lin ang="5400000" scaled="1"/>
      </a:gradFill>
      <a:round/>
    </a:ln>
    <a:effectLst>
      <a:outerShdw blurRad="50800" dist="38100" dir="2700000" algn="tl" rotWithShape="0">
        <a:schemeClr val="bg2">
          <a:alpha val="40000"/>
        </a:schemeClr>
      </a:outerShdw>
    </a:effectLst>
    <a:scene3d>
      <a:camera prst="orthographicFront"/>
      <a:lightRig rig="threePt" dir="t"/>
    </a:scene3d>
    <a:sp3d>
      <a:bevelT/>
      <a:bevelB/>
    </a:sp3d>
  </c:spPr>
  <c:txPr>
    <a:bodyPr/>
    <a:lstStyle/>
    <a:p>
      <a:pPr>
        <a:defRPr>
          <a:ln>
            <a:noFill/>
          </a:ln>
          <a:solidFill>
            <a:schemeClr val="tx1">
              <a:alpha val="85000"/>
            </a:schemeClr>
          </a:solidFill>
          <a:effectLst>
            <a:outerShdw blurRad="50800" dist="38100" dir="5400000" algn="t"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[Teachers_Upskilling_DashBoard.xlsx]Pivots!PivotTable4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5000">
                <a:srgbClr val="63A5D9">
                  <a:lumMod val="98000"/>
                </a:srgbClr>
              </a:gs>
              <a:gs pos="0">
                <a:schemeClr val="bg1"/>
              </a:gs>
              <a:gs pos="47000">
                <a:srgbClr val="0070C0"/>
              </a:gs>
              <a:gs pos="100000">
                <a:srgbClr val="0070C0"/>
              </a:gs>
              <a:gs pos="84000">
                <a:srgbClr val="0070C0"/>
              </a:gs>
            </a:gsLst>
            <a:lin ang="5400000" scaled="1"/>
          </a:gradFill>
          <a:ln>
            <a:noFill/>
          </a:ln>
          <a:effectLst>
            <a:outerShdw blurRad="50800" dist="38100" dir="2700000" algn="tl" rotWithShape="0">
              <a:schemeClr val="tx1">
                <a:alpha val="4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c:f>
              <c:strCache>
                <c:ptCount val="1"/>
                <c:pt idx="0">
                  <c:v>Total</c:v>
                </c:pt>
              </c:strCache>
            </c:strRef>
          </c:tx>
          <c:spPr>
            <a:gradFill>
              <a:gsLst>
                <a:gs pos="25000">
                  <a:srgbClr val="63A5D9">
                    <a:lumMod val="98000"/>
                  </a:srgbClr>
                </a:gs>
                <a:gs pos="0">
                  <a:schemeClr val="bg1"/>
                </a:gs>
                <a:gs pos="47000">
                  <a:srgbClr val="0070C0"/>
                </a:gs>
                <a:gs pos="100000">
                  <a:srgbClr val="0070C0"/>
                </a:gs>
                <a:gs pos="84000">
                  <a:srgbClr val="0070C0"/>
                </a:gs>
              </a:gsLst>
              <a:lin ang="5400000" scaled="1"/>
            </a:gradFill>
            <a:ln>
              <a:noFill/>
            </a:ln>
            <a:effectLst>
              <a:outerShdw blurRad="50800" dist="38100" dir="2700000" algn="tl" rotWithShape="0">
                <a:schemeClr val="tx1">
                  <a:alpha val="40000"/>
                </a:scheme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Pivots!$A$20:$A$25</c:f>
              <c:strCache>
                <c:ptCount val="5"/>
                <c:pt idx="0">
                  <c:v>Delhi</c:v>
                </c:pt>
                <c:pt idx="1">
                  <c:v>Karnataka</c:v>
                </c:pt>
                <c:pt idx="2">
                  <c:v>Kerala</c:v>
                </c:pt>
                <c:pt idx="3">
                  <c:v>Maharashtra</c:v>
                </c:pt>
                <c:pt idx="4">
                  <c:v>Tamil Nadu</c:v>
                </c:pt>
              </c:strCache>
            </c:strRef>
          </c:cat>
          <c:val>
            <c:numRef>
              <c:f>Pivots!$B$20:$B$25</c:f>
              <c:numCache>
                <c:formatCode>General</c:formatCode>
                <c:ptCount val="5"/>
                <c:pt idx="0">
                  <c:v>96</c:v>
                </c:pt>
                <c:pt idx="1">
                  <c:v>102</c:v>
                </c:pt>
                <c:pt idx="2">
                  <c:v>103</c:v>
                </c:pt>
                <c:pt idx="3">
                  <c:v>106</c:v>
                </c:pt>
                <c:pt idx="4">
                  <c:v>93</c:v>
                </c:pt>
              </c:numCache>
            </c:numRef>
          </c:val>
          <c:extLst>
            <c:ext xmlns:c16="http://schemas.microsoft.com/office/drawing/2014/chart" uri="{C3380CC4-5D6E-409C-BE32-E72D297353CC}">
              <c16:uniqueId val="{00000000-F344-4FEE-B476-617593719510}"/>
            </c:ext>
          </c:extLst>
        </c:ser>
        <c:dLbls>
          <c:dLblPos val="outEnd"/>
          <c:showLegendKey val="0"/>
          <c:showVal val="1"/>
          <c:showCatName val="0"/>
          <c:showSerName val="0"/>
          <c:showPercent val="0"/>
          <c:showBubbleSize val="0"/>
        </c:dLbls>
        <c:gapWidth val="219"/>
        <c:overlap val="-27"/>
        <c:axId val="1161574383"/>
        <c:axId val="1161587823"/>
      </c:barChart>
      <c:catAx>
        <c:axId val="116157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crossAx val="1161587823"/>
        <c:crosses val="autoZero"/>
        <c:auto val="1"/>
        <c:lblAlgn val="ctr"/>
        <c:lblOffset val="100"/>
        <c:noMultiLvlLbl val="0"/>
      </c:catAx>
      <c:valAx>
        <c:axId val="1161587823"/>
        <c:scaling>
          <c:orientation val="minMax"/>
        </c:scaling>
        <c:delete val="0"/>
        <c:axPos val="l"/>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crossAx val="11615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7000">
          <a:srgbClr val="DBE5F1"/>
        </a:gs>
        <a:gs pos="34000">
          <a:schemeClr val="accent1">
            <a:lumMod val="45000"/>
            <a:lumOff val="55000"/>
          </a:schemeClr>
        </a:gs>
        <a:gs pos="100000">
          <a:schemeClr val="accent6"/>
        </a:gs>
        <a:gs pos="100000">
          <a:schemeClr val="accent6"/>
        </a:gs>
      </a:gsLst>
      <a:lin ang="5400000" scaled="1"/>
    </a:gradFill>
    <a:ln w="9525" cap="flat" cmpd="sng" algn="ctr">
      <a:noFill/>
      <a:round/>
    </a:ln>
    <a:effectLst/>
    <a:scene3d>
      <a:camera prst="orthographicFront"/>
      <a:lightRig rig="threePt" dir="t"/>
    </a:scene3d>
    <a:sp3d>
      <a:bevelT/>
      <a:bevelB/>
    </a:sp3d>
  </c:spPr>
  <c:txPr>
    <a:bodyPr/>
    <a:lstStyle/>
    <a:p>
      <a:pPr>
        <a:defRPr>
          <a:solidFill>
            <a:schemeClr val="tx1"/>
          </a:solidFill>
          <a:effectLst>
            <a:outerShdw blurRad="50800" dist="50800" dir="5400000" algn="ctr" rotWithShape="0">
              <a:schemeClr val="bg2"/>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[Teachers_Upskilling_DashBoard.xlsx]Pivots!PivotTable8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25000">
                <a:schemeClr val="accent1">
                  <a:lumMod val="45000"/>
                  <a:lumOff val="55000"/>
                </a:schemeClr>
              </a:gs>
              <a:gs pos="48000">
                <a:srgbClr val="0070C0"/>
              </a:gs>
              <a:gs pos="100000">
                <a:srgbClr val="0070C0"/>
              </a:gs>
            </a:gsLst>
            <a:lin ang="5400000" scaled="1"/>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
                  <a:lumOff val="95000"/>
                </a:schemeClr>
              </a:gs>
              <a:gs pos="0">
                <a:schemeClr val="accent1">
                  <a:lumMod val="45000"/>
                  <a:lumOff val="55000"/>
                </a:schemeClr>
              </a:gs>
              <a:gs pos="29000">
                <a:schemeClr val="accent2">
                  <a:lumMod val="100000"/>
                </a:schemeClr>
              </a:gs>
              <a:gs pos="100000">
                <a:schemeClr val="accent2"/>
              </a:gs>
            </a:gsLst>
            <a:lin ang="5400000" scaled="1"/>
          </a:gradFill>
          <a:ln>
            <a:noFill/>
          </a:ln>
          <a:effectLst>
            <a:outerShdw blurRad="50800" dist="38100" dir="2700000" algn="tl" rotWithShape="0">
              <a:schemeClr val="tx1">
                <a:alpha val="40000"/>
              </a:scheme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Pivots!$H$11</c:f>
              <c:strCache>
                <c:ptCount val="1"/>
                <c:pt idx="0">
                  <c:v>Sum of Completed_Flag</c:v>
                </c:pt>
              </c:strCache>
            </c:strRef>
          </c:tx>
          <c:spPr>
            <a:gradFill>
              <a:gsLst>
                <a:gs pos="0">
                  <a:schemeClr val="accent1">
                    <a:lumMod val="5000"/>
                    <a:lumOff val="95000"/>
                  </a:schemeClr>
                </a:gs>
                <a:gs pos="25000">
                  <a:schemeClr val="accent1">
                    <a:lumMod val="45000"/>
                    <a:lumOff val="55000"/>
                  </a:schemeClr>
                </a:gs>
                <a:gs pos="48000">
                  <a:srgbClr val="0070C0"/>
                </a:gs>
                <a:gs pos="100000">
                  <a:srgbClr val="0070C0"/>
                </a:gs>
              </a:gsLst>
              <a:lin ang="5400000" scaled="1"/>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Pivots!$G$12:$G$15</c:f>
              <c:strCache>
                <c:ptCount val="3"/>
                <c:pt idx="0">
                  <c:v>Hybrid</c:v>
                </c:pt>
                <c:pt idx="1">
                  <c:v>Offline</c:v>
                </c:pt>
                <c:pt idx="2">
                  <c:v>Online</c:v>
                </c:pt>
              </c:strCache>
            </c:strRef>
          </c:cat>
          <c:val>
            <c:numRef>
              <c:f>Pivots!$H$12:$H$15</c:f>
              <c:numCache>
                <c:formatCode>General</c:formatCode>
                <c:ptCount val="3"/>
                <c:pt idx="0">
                  <c:v>52</c:v>
                </c:pt>
                <c:pt idx="1">
                  <c:v>60</c:v>
                </c:pt>
                <c:pt idx="2">
                  <c:v>54</c:v>
                </c:pt>
              </c:numCache>
            </c:numRef>
          </c:val>
          <c:extLst>
            <c:ext xmlns:c16="http://schemas.microsoft.com/office/drawing/2014/chart" uri="{C3380CC4-5D6E-409C-BE32-E72D297353CC}">
              <c16:uniqueId val="{00000000-E1A7-4A39-A846-42AB6C06617F}"/>
            </c:ext>
          </c:extLst>
        </c:ser>
        <c:ser>
          <c:idx val="1"/>
          <c:order val="1"/>
          <c:tx>
            <c:strRef>
              <c:f>Pivots!$I$11</c:f>
              <c:strCache>
                <c:ptCount val="1"/>
                <c:pt idx="0">
                  <c:v>Sum of Enrollment_Flag</c:v>
                </c:pt>
              </c:strCache>
            </c:strRef>
          </c:tx>
          <c:spPr>
            <a:gradFill>
              <a:gsLst>
                <a:gs pos="0">
                  <a:schemeClr val="accent1">
                    <a:lumMod val="5000"/>
                    <a:lumOff val="95000"/>
                  </a:schemeClr>
                </a:gs>
                <a:gs pos="0">
                  <a:schemeClr val="accent1">
                    <a:lumMod val="45000"/>
                    <a:lumOff val="55000"/>
                  </a:schemeClr>
                </a:gs>
                <a:gs pos="29000">
                  <a:schemeClr val="accent2">
                    <a:lumMod val="100000"/>
                  </a:schemeClr>
                </a:gs>
                <a:gs pos="100000">
                  <a:schemeClr val="accent2"/>
                </a:gs>
              </a:gsLst>
              <a:lin ang="5400000" scaled="1"/>
            </a:gradFill>
            <a:ln>
              <a:noFill/>
            </a:ln>
            <a:effectLst>
              <a:outerShdw blurRad="50800" dist="38100" dir="2700000" algn="tl" rotWithShape="0">
                <a:schemeClr val="tx1">
                  <a:alpha val="40000"/>
                </a:scheme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Pivots!$G$12:$G$15</c:f>
              <c:strCache>
                <c:ptCount val="3"/>
                <c:pt idx="0">
                  <c:v>Hybrid</c:v>
                </c:pt>
                <c:pt idx="1">
                  <c:v>Offline</c:v>
                </c:pt>
                <c:pt idx="2">
                  <c:v>Online</c:v>
                </c:pt>
              </c:strCache>
            </c:strRef>
          </c:cat>
          <c:val>
            <c:numRef>
              <c:f>Pivots!$I$12:$I$15</c:f>
              <c:numCache>
                <c:formatCode>General</c:formatCode>
                <c:ptCount val="3"/>
                <c:pt idx="0">
                  <c:v>156</c:v>
                </c:pt>
                <c:pt idx="1">
                  <c:v>172</c:v>
                </c:pt>
                <c:pt idx="2">
                  <c:v>172</c:v>
                </c:pt>
              </c:numCache>
            </c:numRef>
          </c:val>
          <c:extLst>
            <c:ext xmlns:c16="http://schemas.microsoft.com/office/drawing/2014/chart" uri="{C3380CC4-5D6E-409C-BE32-E72D297353CC}">
              <c16:uniqueId val="{00000001-E1A7-4A39-A846-42AB6C06617F}"/>
            </c:ext>
          </c:extLst>
        </c:ser>
        <c:ser>
          <c:idx val="2"/>
          <c:order val="2"/>
          <c:tx>
            <c:strRef>
              <c:f>Pivots!$J$11</c:f>
              <c:strCache>
                <c:ptCount val="1"/>
                <c:pt idx="0">
                  <c:v>Average of Completion Rate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Pivots!$G$12:$G$15</c:f>
              <c:strCache>
                <c:ptCount val="3"/>
                <c:pt idx="0">
                  <c:v>Hybrid</c:v>
                </c:pt>
                <c:pt idx="1">
                  <c:v>Offline</c:v>
                </c:pt>
                <c:pt idx="2">
                  <c:v>Online</c:v>
                </c:pt>
              </c:strCache>
            </c:strRef>
          </c:cat>
          <c:val>
            <c:numRef>
              <c:f>Pivots!$J$12:$J$15</c:f>
              <c:numCache>
                <c:formatCode>0.00%</c:formatCode>
                <c:ptCount val="3"/>
                <c:pt idx="0">
                  <c:v>0.33333333333333331</c:v>
                </c:pt>
                <c:pt idx="1">
                  <c:v>0.34883720930232559</c:v>
                </c:pt>
                <c:pt idx="2">
                  <c:v>0.31395348837209303</c:v>
                </c:pt>
              </c:numCache>
            </c:numRef>
          </c:val>
          <c:extLst>
            <c:ext xmlns:c16="http://schemas.microsoft.com/office/drawing/2014/chart" uri="{C3380CC4-5D6E-409C-BE32-E72D297353CC}">
              <c16:uniqueId val="{00000002-E1A7-4A39-A846-42AB6C06617F}"/>
            </c:ext>
          </c:extLst>
        </c:ser>
        <c:dLbls>
          <c:dLblPos val="outEnd"/>
          <c:showLegendKey val="0"/>
          <c:showVal val="1"/>
          <c:showCatName val="0"/>
          <c:showSerName val="0"/>
          <c:showPercent val="0"/>
          <c:showBubbleSize val="0"/>
        </c:dLbls>
        <c:gapWidth val="219"/>
        <c:overlap val="-27"/>
        <c:axId val="1161594543"/>
        <c:axId val="1161590223"/>
      </c:barChart>
      <c:catAx>
        <c:axId val="11615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crossAx val="1161590223"/>
        <c:crosses val="autoZero"/>
        <c:auto val="1"/>
        <c:lblAlgn val="ctr"/>
        <c:lblOffset val="100"/>
        <c:noMultiLvlLbl val="0"/>
      </c:catAx>
      <c:valAx>
        <c:axId val="1161590223"/>
        <c:scaling>
          <c:orientation val="minMax"/>
        </c:scaling>
        <c:delete val="0"/>
        <c:axPos val="l"/>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crossAx val="116159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chemeClr val="bg2"/>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1000">
          <a:srgbClr val="DBE5F1"/>
        </a:gs>
        <a:gs pos="40000">
          <a:schemeClr val="accent1">
            <a:lumMod val="45000"/>
            <a:lumOff val="55000"/>
          </a:schemeClr>
        </a:gs>
        <a:gs pos="100000">
          <a:schemeClr val="accent6"/>
        </a:gs>
        <a:gs pos="100000">
          <a:schemeClr val="accent6"/>
        </a:gs>
      </a:gsLst>
      <a:lin ang="5400000" scaled="1"/>
    </a:gradFill>
    <a:ln w="9525" cap="flat" cmpd="sng" algn="ctr">
      <a:noFill/>
      <a:round/>
    </a:ln>
    <a:effectLst/>
    <a:scene3d>
      <a:camera prst="orthographicFront"/>
      <a:lightRig rig="threePt" dir="t"/>
    </a:scene3d>
    <a:sp3d>
      <a:bevelT/>
      <a:bevelB/>
    </a:sp3d>
  </c:spPr>
  <c:txPr>
    <a:bodyPr/>
    <a:lstStyle/>
    <a:p>
      <a:pPr>
        <a:defRPr>
          <a:solidFill>
            <a:schemeClr val="tx1"/>
          </a:solidFill>
          <a:effectLst>
            <a:outerShdw blurRad="50800" dist="50800" dir="5400000" algn="ctr" rotWithShape="0">
              <a:schemeClr val="bg2"/>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[Teachers_Upskilling_DashBoard.xlsx]Pivots!PivotTable6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c:f>
              <c:strCache>
                <c:ptCount val="1"/>
                <c:pt idx="0">
                  <c:v>Sum of Enrollment_Flag</c:v>
                </c:pt>
              </c:strCache>
            </c:strRef>
          </c:tx>
          <c:spPr>
            <a:ln w="28575" cap="rnd">
              <a:solidFill>
                <a:schemeClr val="accent1"/>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Pivots!$G$4:$G$8</c:f>
              <c:strCache>
                <c:ptCount val="4"/>
                <c:pt idx="0">
                  <c:v>0-5 Years</c:v>
                </c:pt>
                <c:pt idx="1">
                  <c:v>11-20 Years</c:v>
                </c:pt>
                <c:pt idx="2">
                  <c:v>20+ Years</c:v>
                </c:pt>
                <c:pt idx="3">
                  <c:v>5-10 Years</c:v>
                </c:pt>
              </c:strCache>
            </c:strRef>
          </c:cat>
          <c:val>
            <c:numRef>
              <c:f>Pivots!$H$4:$H$8</c:f>
              <c:numCache>
                <c:formatCode>General</c:formatCode>
                <c:ptCount val="4"/>
                <c:pt idx="0">
                  <c:v>79</c:v>
                </c:pt>
                <c:pt idx="1">
                  <c:v>137</c:v>
                </c:pt>
                <c:pt idx="2">
                  <c:v>205</c:v>
                </c:pt>
                <c:pt idx="3">
                  <c:v>79</c:v>
                </c:pt>
              </c:numCache>
            </c:numRef>
          </c:val>
          <c:smooth val="0"/>
          <c:extLst>
            <c:ext xmlns:c16="http://schemas.microsoft.com/office/drawing/2014/chart" uri="{C3380CC4-5D6E-409C-BE32-E72D297353CC}">
              <c16:uniqueId val="{00000000-47DA-4991-B774-DB60EE9CF3B1}"/>
            </c:ext>
          </c:extLst>
        </c:ser>
        <c:ser>
          <c:idx val="1"/>
          <c:order val="1"/>
          <c:tx>
            <c:strRef>
              <c:f>Pivots!$I$3</c:f>
              <c:strCache>
                <c:ptCount val="1"/>
                <c:pt idx="0">
                  <c:v>Sum of Completed_Flag</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Pivots!$G$4:$G$8</c:f>
              <c:strCache>
                <c:ptCount val="4"/>
                <c:pt idx="0">
                  <c:v>0-5 Years</c:v>
                </c:pt>
                <c:pt idx="1">
                  <c:v>11-20 Years</c:v>
                </c:pt>
                <c:pt idx="2">
                  <c:v>20+ Years</c:v>
                </c:pt>
                <c:pt idx="3">
                  <c:v>5-10 Years</c:v>
                </c:pt>
              </c:strCache>
            </c:strRef>
          </c:cat>
          <c:val>
            <c:numRef>
              <c:f>Pivots!$I$4:$I$8</c:f>
              <c:numCache>
                <c:formatCode>General</c:formatCode>
                <c:ptCount val="4"/>
                <c:pt idx="0">
                  <c:v>24</c:v>
                </c:pt>
                <c:pt idx="1">
                  <c:v>60</c:v>
                </c:pt>
                <c:pt idx="2">
                  <c:v>61</c:v>
                </c:pt>
                <c:pt idx="3">
                  <c:v>21</c:v>
                </c:pt>
              </c:numCache>
            </c:numRef>
          </c:val>
          <c:smooth val="0"/>
          <c:extLst>
            <c:ext xmlns:c16="http://schemas.microsoft.com/office/drawing/2014/chart" uri="{C3380CC4-5D6E-409C-BE32-E72D297353CC}">
              <c16:uniqueId val="{00000001-47DA-4991-B774-DB60EE9CF3B1}"/>
            </c:ext>
          </c:extLst>
        </c:ser>
        <c:ser>
          <c:idx val="2"/>
          <c:order val="2"/>
          <c:tx>
            <c:strRef>
              <c:f>Pivots!$J$3</c:f>
              <c:strCache>
                <c:ptCount val="1"/>
                <c:pt idx="0">
                  <c:v>Completed Percentage</c:v>
                </c:pt>
              </c:strCache>
            </c:strRef>
          </c:tx>
          <c:spPr>
            <a:ln w="28575" cap="rnd">
              <a:solidFill>
                <a:schemeClr val="accent3"/>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50800" dist="50800" dir="5400000" algn="ctr" rotWithShape="0">
                        <a:schemeClr val="bg2"/>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Pivots!$G$4:$G$8</c:f>
              <c:strCache>
                <c:ptCount val="4"/>
                <c:pt idx="0">
                  <c:v>0-5 Years</c:v>
                </c:pt>
                <c:pt idx="1">
                  <c:v>11-20 Years</c:v>
                </c:pt>
                <c:pt idx="2">
                  <c:v>20+ Years</c:v>
                </c:pt>
                <c:pt idx="3">
                  <c:v>5-10 Years</c:v>
                </c:pt>
              </c:strCache>
            </c:strRef>
          </c:cat>
          <c:val>
            <c:numRef>
              <c:f>Pivots!$J$4:$J$8</c:f>
              <c:numCache>
                <c:formatCode>0.00%</c:formatCode>
                <c:ptCount val="4"/>
                <c:pt idx="0">
                  <c:v>0.30379746835443039</c:v>
                </c:pt>
                <c:pt idx="1">
                  <c:v>0.43795620437956206</c:v>
                </c:pt>
                <c:pt idx="2">
                  <c:v>0.29756097560975608</c:v>
                </c:pt>
                <c:pt idx="3">
                  <c:v>0.26582278481012656</c:v>
                </c:pt>
              </c:numCache>
            </c:numRef>
          </c:val>
          <c:smooth val="0"/>
          <c:extLst>
            <c:ext xmlns:c16="http://schemas.microsoft.com/office/drawing/2014/chart" uri="{C3380CC4-5D6E-409C-BE32-E72D297353CC}">
              <c16:uniqueId val="{00000002-47DA-4991-B774-DB60EE9CF3B1}"/>
            </c:ext>
          </c:extLst>
        </c:ser>
        <c:dLbls>
          <c:dLblPos val="t"/>
          <c:showLegendKey val="0"/>
          <c:showVal val="1"/>
          <c:showCatName val="0"/>
          <c:showSerName val="0"/>
          <c:showPercent val="0"/>
          <c:showBubbleSize val="0"/>
        </c:dLbls>
        <c:smooth val="0"/>
        <c:axId val="1161585903"/>
        <c:axId val="1161594063"/>
      </c:lineChart>
      <c:catAx>
        <c:axId val="116158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algn="ctr" rotWithShape="0">
                    <a:schemeClr val="bg2"/>
                  </a:outerShdw>
                </a:effectLst>
                <a:latin typeface="+mn-lt"/>
                <a:ea typeface="+mn-ea"/>
                <a:cs typeface="+mn-cs"/>
              </a:defRPr>
            </a:pPr>
            <a:endParaRPr lang="en-US"/>
          </a:p>
        </c:txPr>
        <c:crossAx val="1161594063"/>
        <c:crosses val="autoZero"/>
        <c:auto val="1"/>
        <c:lblAlgn val="ctr"/>
        <c:lblOffset val="100"/>
        <c:noMultiLvlLbl val="0"/>
      </c:catAx>
      <c:valAx>
        <c:axId val="1161594063"/>
        <c:scaling>
          <c:orientation val="minMax"/>
        </c:scaling>
        <c:delete val="0"/>
        <c:axPos val="l"/>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algn="ctr" rotWithShape="0">
                    <a:schemeClr val="bg2"/>
                  </a:outerShdw>
                </a:effectLst>
                <a:latin typeface="+mn-lt"/>
                <a:ea typeface="+mn-ea"/>
                <a:cs typeface="+mn-cs"/>
              </a:defRPr>
            </a:pPr>
            <a:endParaRPr lang="en-US"/>
          </a:p>
        </c:txPr>
        <c:crossAx val="116158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algn="ctr" rotWithShape="0">
                  <a:schemeClr val="bg2"/>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8000">
          <a:schemeClr val="accent1">
            <a:lumMod val="45000"/>
            <a:lumOff val="55000"/>
          </a:schemeClr>
        </a:gs>
        <a:gs pos="44000">
          <a:schemeClr val="tx2">
            <a:lumMod val="40000"/>
            <a:lumOff val="60000"/>
          </a:schemeClr>
        </a:gs>
        <a:gs pos="100000">
          <a:schemeClr val="accent6"/>
        </a:gs>
      </a:gsLst>
      <a:lin ang="5400000" scaled="1"/>
    </a:gradFill>
    <a:ln w="9525" cap="flat" cmpd="sng" algn="ctr">
      <a:noFill/>
      <a:round/>
    </a:ln>
    <a:effectLst/>
    <a:scene3d>
      <a:camera prst="orthographicFront"/>
      <a:lightRig rig="threePt" dir="t"/>
    </a:scene3d>
    <a:sp3d>
      <a:bevelT/>
      <a:bevelB/>
    </a:sp3d>
  </c:spPr>
  <c:txPr>
    <a:bodyPr/>
    <a:lstStyle/>
    <a:p>
      <a:pPr>
        <a:defRPr>
          <a:effectLst>
            <a:outerShdw blurRad="50800" dist="50800" dir="5400000" algn="ctr" rotWithShape="0">
              <a:schemeClr val="bg2"/>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338667</xdr:colOff>
      <xdr:row>4</xdr:row>
      <xdr:rowOff>0</xdr:rowOff>
    </xdr:from>
    <xdr:to>
      <xdr:col>11</xdr:col>
      <xdr:colOff>482601</xdr:colOff>
      <xdr:row>11</xdr:row>
      <xdr:rowOff>135467</xdr:rowOff>
    </xdr:to>
    <xdr:sp macro="" textlink="">
      <xdr:nvSpPr>
        <xdr:cNvPr id="3" name="Rectangle: Rounded Corners 2">
          <a:extLst>
            <a:ext uri="{FF2B5EF4-FFF2-40B4-BE49-F238E27FC236}">
              <a16:creationId xmlns:a16="http://schemas.microsoft.com/office/drawing/2014/main" id="{83A362CF-7871-404D-AD9F-674469B0BA27}"/>
            </a:ext>
          </a:extLst>
        </xdr:cNvPr>
        <xdr:cNvSpPr/>
      </xdr:nvSpPr>
      <xdr:spPr>
        <a:xfrm>
          <a:off x="4605867" y="1032933"/>
          <a:ext cx="2582334" cy="1439334"/>
        </a:xfrm>
        <a:prstGeom prst="roundRect">
          <a:avLst/>
        </a:prstGeom>
        <a:solidFill>
          <a:schemeClr val="bg2"/>
        </a:solidFill>
        <a:ln>
          <a:noFill/>
        </a:ln>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effectLst/>
            </a:rPr>
            <a:t>Overall Completion Rate</a:t>
          </a:r>
        </a:p>
        <a:p>
          <a:pPr algn="ctr"/>
          <a:endParaRPr lang="en-IN" sz="1400" b="1">
            <a:solidFill>
              <a:srgbClr val="FF0000"/>
            </a:solidFill>
            <a:effectLst/>
          </a:endParaRPr>
        </a:p>
        <a:p>
          <a:pPr algn="ctr"/>
          <a:r>
            <a:rPr lang="en-IN" sz="3200" b="1" i="0" u="none" strike="noStrike">
              <a:solidFill>
                <a:srgbClr val="FF0000"/>
              </a:solidFill>
              <a:effectLst/>
              <a:latin typeface="+mn-lt"/>
              <a:ea typeface="+mn-ea"/>
              <a:cs typeface="+mn-cs"/>
            </a:rPr>
            <a:t>33%</a:t>
          </a:r>
          <a:r>
            <a:rPr lang="en-IN" sz="3200" b="1">
              <a:solidFill>
                <a:srgbClr val="FF0000"/>
              </a:solidFill>
              <a:effectLst/>
            </a:rPr>
            <a:t> </a:t>
          </a:r>
        </a:p>
      </xdr:txBody>
    </xdr:sp>
    <xdr:clientData/>
  </xdr:twoCellAnchor>
  <xdr:twoCellAnchor>
    <xdr:from>
      <xdr:col>13</xdr:col>
      <xdr:colOff>203200</xdr:colOff>
      <xdr:row>4</xdr:row>
      <xdr:rowOff>0</xdr:rowOff>
    </xdr:from>
    <xdr:to>
      <xdr:col>17</xdr:col>
      <xdr:colOff>423334</xdr:colOff>
      <xdr:row>11</xdr:row>
      <xdr:rowOff>143933</xdr:rowOff>
    </xdr:to>
    <xdr:sp macro="" textlink="">
      <xdr:nvSpPr>
        <xdr:cNvPr id="4" name="Rectangle: Rounded Corners 3">
          <a:extLst>
            <a:ext uri="{FF2B5EF4-FFF2-40B4-BE49-F238E27FC236}">
              <a16:creationId xmlns:a16="http://schemas.microsoft.com/office/drawing/2014/main" id="{B7E92057-947A-447A-96B4-D05D5ECA1BD7}"/>
            </a:ext>
          </a:extLst>
        </xdr:cNvPr>
        <xdr:cNvSpPr/>
      </xdr:nvSpPr>
      <xdr:spPr>
        <a:xfrm>
          <a:off x="8128000" y="1032933"/>
          <a:ext cx="2658534" cy="1447800"/>
        </a:xfrm>
        <a:prstGeom prst="roundRect">
          <a:avLst/>
        </a:prstGeom>
        <a:solidFill>
          <a:schemeClr val="bg2"/>
        </a:solidFill>
        <a:ln>
          <a:noFill/>
        </a:ln>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rPr>
            <a:t>Avg Assessment Score</a:t>
          </a:r>
          <a:endParaRPr lang="en-IN" sz="1400" b="0" i="0" u="none" strike="noStrike">
            <a:solidFill>
              <a:schemeClr val="lt1"/>
            </a:solidFill>
            <a:effectLst/>
            <a:latin typeface="+mn-lt"/>
            <a:ea typeface="+mn-ea"/>
            <a:cs typeface="+mn-cs"/>
          </a:endParaRPr>
        </a:p>
        <a:p>
          <a:pPr algn="ctr"/>
          <a:endParaRPr lang="en-IN" sz="1100" b="1">
            <a:solidFill>
              <a:srgbClr val="FF0000"/>
            </a:solidFill>
          </a:endParaRPr>
        </a:p>
        <a:p>
          <a:pPr algn="ctr"/>
          <a:r>
            <a:rPr lang="en-IN" sz="3200" b="1" i="0" u="none" strike="noStrike">
              <a:solidFill>
                <a:srgbClr val="FF0000"/>
              </a:solidFill>
              <a:effectLst/>
              <a:latin typeface="+mn-lt"/>
              <a:ea typeface="+mn-ea"/>
              <a:cs typeface="+mn-cs"/>
            </a:rPr>
            <a:t>74.24</a:t>
          </a:r>
          <a:endParaRPr lang="en-IN" sz="3200" b="1">
            <a:solidFill>
              <a:srgbClr val="FF0000"/>
            </a:solidFill>
          </a:endParaRPr>
        </a:p>
      </xdr:txBody>
    </xdr:sp>
    <xdr:clientData/>
  </xdr:twoCellAnchor>
  <xdr:twoCellAnchor>
    <xdr:from>
      <xdr:col>19</xdr:col>
      <xdr:colOff>93133</xdr:colOff>
      <xdr:row>3</xdr:row>
      <xdr:rowOff>177800</xdr:rowOff>
    </xdr:from>
    <xdr:to>
      <xdr:col>23</xdr:col>
      <xdr:colOff>355600</xdr:colOff>
      <xdr:row>11</xdr:row>
      <xdr:rowOff>118534</xdr:rowOff>
    </xdr:to>
    <xdr:sp macro="" textlink="">
      <xdr:nvSpPr>
        <xdr:cNvPr id="5" name="Rectangle: Rounded Corners 4">
          <a:extLst>
            <a:ext uri="{FF2B5EF4-FFF2-40B4-BE49-F238E27FC236}">
              <a16:creationId xmlns:a16="http://schemas.microsoft.com/office/drawing/2014/main" id="{A6878FCA-6AAD-47B9-83C9-54F3B13CB194}"/>
            </a:ext>
          </a:extLst>
        </xdr:cNvPr>
        <xdr:cNvSpPr/>
      </xdr:nvSpPr>
      <xdr:spPr>
        <a:xfrm>
          <a:off x="11675533" y="1024467"/>
          <a:ext cx="2700867" cy="1430867"/>
        </a:xfrm>
        <a:prstGeom prst="roundRect">
          <a:avLst/>
        </a:prstGeom>
        <a:solidFill>
          <a:schemeClr val="bg2"/>
        </a:solidFill>
        <a:ln>
          <a:noFill/>
        </a:ln>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rPr>
            <a:t>Avg Training Hours</a:t>
          </a:r>
        </a:p>
        <a:p>
          <a:pPr algn="ctr"/>
          <a:endParaRPr lang="en-IN" sz="1100" b="1">
            <a:solidFill>
              <a:srgbClr val="FF0000"/>
            </a:solidFill>
          </a:endParaRPr>
        </a:p>
        <a:p>
          <a:pPr algn="ctr"/>
          <a:r>
            <a:rPr lang="en-IN" sz="3200" b="1" i="0" u="none" strike="noStrike">
              <a:solidFill>
                <a:srgbClr val="FF0000"/>
              </a:solidFill>
              <a:effectLst/>
              <a:latin typeface="+mn-lt"/>
              <a:ea typeface="+mn-ea"/>
              <a:cs typeface="+mn-cs"/>
            </a:rPr>
            <a:t>31.15</a:t>
          </a:r>
          <a:r>
            <a:rPr lang="en-IN" sz="3200" b="1">
              <a:solidFill>
                <a:srgbClr val="FF0000"/>
              </a:solidFill>
              <a:effectLst/>
            </a:rPr>
            <a:t> </a:t>
          </a:r>
          <a:endParaRPr lang="en-IN" sz="3200" b="1">
            <a:solidFill>
              <a:srgbClr val="FF0000"/>
            </a:solidFill>
          </a:endParaRPr>
        </a:p>
      </xdr:txBody>
    </xdr:sp>
    <xdr:clientData/>
  </xdr:twoCellAnchor>
  <xdr:twoCellAnchor>
    <xdr:from>
      <xdr:col>1</xdr:col>
      <xdr:colOff>457200</xdr:colOff>
      <xdr:row>4</xdr:row>
      <xdr:rowOff>1</xdr:rowOff>
    </xdr:from>
    <xdr:to>
      <xdr:col>5</xdr:col>
      <xdr:colOff>601134</xdr:colOff>
      <xdr:row>11</xdr:row>
      <xdr:rowOff>135468</xdr:rowOff>
    </xdr:to>
    <xdr:sp macro="" textlink="">
      <xdr:nvSpPr>
        <xdr:cNvPr id="6" name="Rectangle: Rounded Corners 5">
          <a:extLst>
            <a:ext uri="{FF2B5EF4-FFF2-40B4-BE49-F238E27FC236}">
              <a16:creationId xmlns:a16="http://schemas.microsoft.com/office/drawing/2014/main" id="{4F7A40CD-F96D-4C22-AC06-F7094F9E6374}"/>
            </a:ext>
          </a:extLst>
        </xdr:cNvPr>
        <xdr:cNvSpPr/>
      </xdr:nvSpPr>
      <xdr:spPr>
        <a:xfrm>
          <a:off x="1066800" y="1219201"/>
          <a:ext cx="2582334" cy="1439334"/>
        </a:xfrm>
        <a:prstGeom prst="roundRect">
          <a:avLst/>
        </a:prstGeom>
        <a:solidFill>
          <a:schemeClr val="bg2"/>
        </a:solidFill>
        <a:ln>
          <a:noFill/>
        </a:ln>
        <a:scene3d>
          <a:camera prst="orthographicFront"/>
          <a:lightRig rig="threePt" dir="t"/>
        </a:scene3d>
        <a:sp3d>
          <a:bevel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effectLst/>
            </a:rPr>
            <a:t>Total Teachers Enrolled</a:t>
          </a:r>
        </a:p>
        <a:p>
          <a:pPr algn="ctr"/>
          <a:endParaRPr lang="en-IN" sz="1800" b="1" i="0" u="none" strike="noStrike">
            <a:solidFill>
              <a:srgbClr val="FF0000"/>
            </a:solidFill>
            <a:effectLst/>
            <a:latin typeface="+mn-lt"/>
            <a:ea typeface="+mn-ea"/>
            <a:cs typeface="+mn-cs"/>
          </a:endParaRPr>
        </a:p>
        <a:p>
          <a:pPr algn="ctr"/>
          <a:r>
            <a:rPr lang="en-IN" sz="3200" b="1" i="0" u="none" strike="noStrike">
              <a:solidFill>
                <a:srgbClr val="FF0000"/>
              </a:solidFill>
              <a:effectLst/>
              <a:latin typeface="+mn-lt"/>
              <a:ea typeface="+mn-ea"/>
              <a:cs typeface="+mn-cs"/>
            </a:rPr>
            <a:t>500</a:t>
          </a:r>
          <a:r>
            <a:rPr lang="en-IN" sz="3200" b="1">
              <a:solidFill>
                <a:srgbClr val="FF0000"/>
              </a:solidFill>
              <a:effectLst/>
            </a:rPr>
            <a:t> </a:t>
          </a:r>
        </a:p>
      </xdr:txBody>
    </xdr:sp>
    <xdr:clientData/>
  </xdr:twoCellAnchor>
  <xdr:twoCellAnchor editAs="oneCell">
    <xdr:from>
      <xdr:col>1</xdr:col>
      <xdr:colOff>42333</xdr:colOff>
      <xdr:row>16</xdr:row>
      <xdr:rowOff>67733</xdr:rowOff>
    </xdr:from>
    <xdr:to>
      <xdr:col>4</xdr:col>
      <xdr:colOff>42333</xdr:colOff>
      <xdr:row>25</xdr:row>
      <xdr:rowOff>118533</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92ECBABE-D0ED-429D-9535-BE913135009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51933" y="3691466"/>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xdr:colOff>
      <xdr:row>25</xdr:row>
      <xdr:rowOff>160867</xdr:rowOff>
    </xdr:from>
    <xdr:to>
      <xdr:col>4</xdr:col>
      <xdr:colOff>25400</xdr:colOff>
      <xdr:row>35</xdr:row>
      <xdr:rowOff>25399</xdr:rowOff>
    </xdr:to>
    <mc:AlternateContent xmlns:mc="http://schemas.openxmlformats.org/markup-compatibility/2006">
      <mc:Choice xmlns:a14="http://schemas.microsoft.com/office/drawing/2010/main" Requires="a14">
        <xdr:graphicFrame macro="">
          <xdr:nvGraphicFramePr>
            <xdr:cNvPr id="13" name="Completion_Status">
              <a:extLst>
                <a:ext uri="{FF2B5EF4-FFF2-40B4-BE49-F238E27FC236}">
                  <a16:creationId xmlns:a16="http://schemas.microsoft.com/office/drawing/2014/main" id="{4C55A511-5E17-4C68-B627-8483F1BB6939}"/>
                </a:ext>
              </a:extLst>
            </xdr:cNvPr>
            <xdr:cNvGraphicFramePr/>
          </xdr:nvGraphicFramePr>
          <xdr:xfrm>
            <a:off x="0" y="0"/>
            <a:ext cx="0" cy="0"/>
          </xdr:xfrm>
          <a:graphic>
            <a:graphicData uri="http://schemas.microsoft.com/office/drawing/2010/slicer">
              <sle:slicer xmlns:sle="http://schemas.microsoft.com/office/drawing/2010/slicer" name="Completion_Status"/>
            </a:graphicData>
          </a:graphic>
        </xdr:graphicFrame>
      </mc:Choice>
      <mc:Fallback>
        <xdr:sp macro="" textlink="">
          <xdr:nvSpPr>
            <xdr:cNvPr id="0" name=""/>
            <xdr:cNvSpPr>
              <a:spLocks noTextEdit="1"/>
            </xdr:cNvSpPr>
          </xdr:nvSpPr>
          <xdr:spPr>
            <a:xfrm>
              <a:off x="635000" y="5461000"/>
              <a:ext cx="1828800" cy="1727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321729</xdr:colOff>
      <xdr:row>26</xdr:row>
      <xdr:rowOff>25397</xdr:rowOff>
    </xdr:from>
    <xdr:to>
      <xdr:col>25</xdr:col>
      <xdr:colOff>321729</xdr:colOff>
      <xdr:row>35</xdr:row>
      <xdr:rowOff>76997</xdr:rowOff>
    </xdr:to>
    <mc:AlternateContent xmlns:mc="http://schemas.openxmlformats.org/markup-compatibility/2006">
      <mc:Choice xmlns:a14="http://schemas.microsoft.com/office/drawing/2010/main" Requires="a14">
        <xdr:graphicFrame macro="">
          <xdr:nvGraphicFramePr>
            <xdr:cNvPr id="14" name="Mode_of_Training">
              <a:extLst>
                <a:ext uri="{FF2B5EF4-FFF2-40B4-BE49-F238E27FC236}">
                  <a16:creationId xmlns:a16="http://schemas.microsoft.com/office/drawing/2014/main" id="{FA8BCB1A-AFB7-41AC-82D5-AADBF15BC895}"/>
                </a:ext>
              </a:extLst>
            </xdr:cNvPr>
            <xdr:cNvGraphicFramePr/>
          </xdr:nvGraphicFramePr>
          <xdr:xfrm>
            <a:off x="0" y="0"/>
            <a:ext cx="0" cy="0"/>
          </xdr:xfrm>
          <a:graphic>
            <a:graphicData uri="http://schemas.microsoft.com/office/drawing/2010/slicer">
              <sle:slicer xmlns:sle="http://schemas.microsoft.com/office/drawing/2010/slicer" name="Mode_of_Training"/>
            </a:graphicData>
          </a:graphic>
        </xdr:graphicFrame>
      </mc:Choice>
      <mc:Fallback>
        <xdr:sp macro="" textlink="">
          <xdr:nvSpPr>
            <xdr:cNvPr id="0" name=""/>
            <xdr:cNvSpPr>
              <a:spLocks noTextEdit="1"/>
            </xdr:cNvSpPr>
          </xdr:nvSpPr>
          <xdr:spPr>
            <a:xfrm>
              <a:off x="13732929" y="5511797"/>
              <a:ext cx="1828800"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304793</xdr:colOff>
      <xdr:row>16</xdr:row>
      <xdr:rowOff>110066</xdr:rowOff>
    </xdr:from>
    <xdr:to>
      <xdr:col>25</xdr:col>
      <xdr:colOff>304793</xdr:colOff>
      <xdr:row>25</xdr:row>
      <xdr:rowOff>161666</xdr:rowOff>
    </xdr:to>
    <mc:AlternateContent xmlns:mc="http://schemas.openxmlformats.org/markup-compatibility/2006">
      <mc:Choice xmlns:a14="http://schemas.microsoft.com/office/drawing/2010/main" Requires="a14">
        <xdr:graphicFrame macro="">
          <xdr:nvGraphicFramePr>
            <xdr:cNvPr id="15" name="Course_Name">
              <a:extLst>
                <a:ext uri="{FF2B5EF4-FFF2-40B4-BE49-F238E27FC236}">
                  <a16:creationId xmlns:a16="http://schemas.microsoft.com/office/drawing/2014/main" id="{09D01C54-07C5-4E09-B4F7-3311D76F9774}"/>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dr:sp macro="" textlink="">
          <xdr:nvSpPr>
            <xdr:cNvPr id="0" name=""/>
            <xdr:cNvSpPr>
              <a:spLocks noTextEdit="1"/>
            </xdr:cNvSpPr>
          </xdr:nvSpPr>
          <xdr:spPr>
            <a:xfrm>
              <a:off x="13715993" y="3733799"/>
              <a:ext cx="1828800"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93114</xdr:colOff>
      <xdr:row>16</xdr:row>
      <xdr:rowOff>93130</xdr:rowOff>
    </xdr:from>
    <xdr:to>
      <xdr:col>13</xdr:col>
      <xdr:colOff>126980</xdr:colOff>
      <xdr:row>35</xdr:row>
      <xdr:rowOff>8465</xdr:rowOff>
    </xdr:to>
    <xdr:graphicFrame macro="">
      <xdr:nvGraphicFramePr>
        <xdr:cNvPr id="16" name="Chart 15">
          <a:extLst>
            <a:ext uri="{FF2B5EF4-FFF2-40B4-BE49-F238E27FC236}">
              <a16:creationId xmlns:a16="http://schemas.microsoft.com/office/drawing/2014/main" id="{16D4D4FA-D5BB-45FD-9652-A3E432673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186244</xdr:colOff>
      <xdr:row>16</xdr:row>
      <xdr:rowOff>101598</xdr:rowOff>
    </xdr:from>
    <xdr:to>
      <xdr:col>22</xdr:col>
      <xdr:colOff>218644</xdr:colOff>
      <xdr:row>35</xdr:row>
      <xdr:rowOff>18531</xdr:rowOff>
    </xdr:to>
    <xdr:graphicFrame macro="">
      <xdr:nvGraphicFramePr>
        <xdr:cNvPr id="17" name="Chart 16">
          <a:extLst>
            <a:ext uri="{FF2B5EF4-FFF2-40B4-BE49-F238E27FC236}">
              <a16:creationId xmlns:a16="http://schemas.microsoft.com/office/drawing/2014/main" id="{CAE29F0B-C0E4-431E-983E-17CD7C9B1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609599</xdr:colOff>
      <xdr:row>39</xdr:row>
      <xdr:rowOff>101594</xdr:rowOff>
    </xdr:from>
    <xdr:to>
      <xdr:col>12</xdr:col>
      <xdr:colOff>415199</xdr:colOff>
      <xdr:row>51</xdr:row>
      <xdr:rowOff>24994</xdr:rowOff>
    </xdr:to>
    <xdr:graphicFrame macro="">
      <xdr:nvGraphicFramePr>
        <xdr:cNvPr id="18" name="Chart 17">
          <a:extLst>
            <a:ext uri="{FF2B5EF4-FFF2-40B4-BE49-F238E27FC236}">
              <a16:creationId xmlns:a16="http://schemas.microsoft.com/office/drawing/2014/main" id="{61B038B1-C9BB-4E42-904C-CAE78BF21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516467</xdr:colOff>
      <xdr:row>39</xdr:row>
      <xdr:rowOff>93133</xdr:rowOff>
    </xdr:from>
    <xdr:to>
      <xdr:col>25</xdr:col>
      <xdr:colOff>322067</xdr:colOff>
      <xdr:row>51</xdr:row>
      <xdr:rowOff>16533</xdr:rowOff>
    </xdr:to>
    <xdr:graphicFrame macro="">
      <xdr:nvGraphicFramePr>
        <xdr:cNvPr id="19" name="Chart 18">
          <a:extLst>
            <a:ext uri="{FF2B5EF4-FFF2-40B4-BE49-F238E27FC236}">
              <a16:creationId xmlns:a16="http://schemas.microsoft.com/office/drawing/2014/main" id="{459DDAA5-59F1-4BCB-99A7-2AFFDA42B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474132</xdr:colOff>
      <xdr:row>56</xdr:row>
      <xdr:rowOff>152405</xdr:rowOff>
    </xdr:from>
    <xdr:to>
      <xdr:col>12</xdr:col>
      <xdr:colOff>279732</xdr:colOff>
      <xdr:row>74</xdr:row>
      <xdr:rowOff>8072</xdr:rowOff>
    </xdr:to>
    <xdr:graphicFrame macro="">
      <xdr:nvGraphicFramePr>
        <xdr:cNvPr id="20" name="Chart 19">
          <a:extLst>
            <a:ext uri="{FF2B5EF4-FFF2-40B4-BE49-F238E27FC236}">
              <a16:creationId xmlns:a16="http://schemas.microsoft.com/office/drawing/2014/main" id="{8CFCC2CF-E272-4E7E-B8C8-DD1DAFD14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575734</xdr:colOff>
      <xdr:row>56</xdr:row>
      <xdr:rowOff>169326</xdr:rowOff>
    </xdr:from>
    <xdr:to>
      <xdr:col>25</xdr:col>
      <xdr:colOff>67734</xdr:colOff>
      <xdr:row>68</xdr:row>
      <xdr:rowOff>76193</xdr:rowOff>
    </xdr:to>
    <xdr:sp macro="" textlink="Dashboard!$AF$50">
      <xdr:nvSpPr>
        <xdr:cNvPr id="21" name="Rectangle 20">
          <a:extLst>
            <a:ext uri="{FF2B5EF4-FFF2-40B4-BE49-F238E27FC236}">
              <a16:creationId xmlns:a16="http://schemas.microsoft.com/office/drawing/2014/main" id="{5E5480FB-AED8-3359-4702-3246C7D354F6}"/>
            </a:ext>
          </a:extLst>
        </xdr:cNvPr>
        <xdr:cNvSpPr/>
      </xdr:nvSpPr>
      <xdr:spPr>
        <a:xfrm>
          <a:off x="8500534" y="12674593"/>
          <a:ext cx="6807200" cy="2142067"/>
        </a:xfrm>
        <a:prstGeom prst="rect">
          <a:avLst/>
        </a:prstGeom>
        <a:ln>
          <a:noFill/>
        </a:ln>
        <a:effectLst/>
        <a:scene3d>
          <a:camera prst="orthographicFront"/>
          <a:lightRig rig="threePt" dir="t"/>
        </a:scene3d>
        <a:sp3d>
          <a:bevelT/>
          <a:bevelB/>
        </a:sp3d>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endParaRPr lang="en-US" sz="1600" b="1" i="0" u="none" strike="noStrike">
            <a:solidFill>
              <a:srgbClr val="FF0000"/>
            </a:solidFill>
            <a:effectLst>
              <a:outerShdw blurRad="50800" dist="38100" dir="2700000" algn="tl" rotWithShape="0">
                <a:schemeClr val="tx1">
                  <a:alpha val="40000"/>
                </a:schemeClr>
              </a:outerShdw>
            </a:effectLst>
            <a:latin typeface="Calibri"/>
            <a:ea typeface="Calibri"/>
            <a:cs typeface="Calibri"/>
          </a:endParaRPr>
        </a:p>
        <a:p>
          <a:pPr algn="ctr"/>
          <a:endParaRPr lang="en-US" sz="1600" b="1" i="0" u="none" strike="noStrike">
            <a:solidFill>
              <a:srgbClr val="FF0000"/>
            </a:solidFill>
            <a:effectLst>
              <a:outerShdw blurRad="50800" dist="38100" dir="2700000" algn="tl" rotWithShape="0">
                <a:schemeClr val="tx1">
                  <a:alpha val="40000"/>
                </a:schemeClr>
              </a:outerShdw>
            </a:effectLst>
            <a:latin typeface="Calibri"/>
            <a:ea typeface="Calibri"/>
            <a:cs typeface="Calibri"/>
          </a:endParaRPr>
        </a:p>
        <a:p>
          <a:pPr algn="ctr"/>
          <a:fld id="{75A7F63C-7D2F-4053-9F03-29C772F0D977}" type="TxLink">
            <a:rPr lang="en-US" sz="1600" b="1" i="0" u="none" strike="noStrike">
              <a:solidFill>
                <a:srgbClr val="FF0000"/>
              </a:solidFill>
              <a:effectLst>
                <a:outerShdw blurRad="50800" dist="38100" dir="2700000" algn="tl" rotWithShape="0">
                  <a:schemeClr val="tx1">
                    <a:alpha val="40000"/>
                  </a:schemeClr>
                </a:outerShdw>
              </a:effectLst>
              <a:latin typeface="Calibri"/>
              <a:ea typeface="Calibri"/>
              <a:cs typeface="Calibri"/>
            </a:rPr>
            <a:pPr algn="ctr"/>
            <a:t>• Inclusive Education is the most enrolled course with 119 teachers.
• Delhi shows the highest completion rate (42%).
• Offline Mode shows the highest completion rate (35%).
• 11-20 Years experienced reachers has the highest completion rate (44%).
</a:t>
          </a:fld>
          <a:endParaRPr lang="en-IN" sz="1600" b="1">
            <a:solidFill>
              <a:srgbClr val="FF0000"/>
            </a:solidFill>
            <a:effectLst>
              <a:outerShdw blurRad="50800" dist="38100" dir="2700000" algn="tl" rotWithShape="0">
                <a:schemeClr val="tx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shan Nayaka" refreshedDate="46009.587151041669" createdVersion="8" refreshedVersion="8" minRefreshableVersion="3" recordCount="500" xr:uid="{142065B5-4C8E-4B12-8BDC-FF9237800C19}">
  <cacheSource type="worksheet">
    <worksheetSource name="Teacher_Data"/>
  </cacheSource>
  <cacheFields count="28">
    <cacheField name="Teacher_ID" numFmtId="0">
      <sharedItems/>
    </cacheField>
    <cacheField name="Teacher_Name" numFmtId="0">
      <sharedItems count="40">
        <s v="Suresh R"/>
        <s v="Amit K"/>
        <s v="Priya S"/>
        <s v="Ravi R"/>
        <s v="Rahul M"/>
        <s v="Sneha M"/>
        <s v="Rahul R"/>
        <s v="Neha K"/>
        <s v="Suresh S"/>
        <s v="Sneha K"/>
        <s v="Ravi M"/>
        <s v="Kiran R"/>
        <s v="Kiran M"/>
        <s v="Priya R"/>
        <s v="Pooja R"/>
        <s v="Anjali S"/>
        <s v="Kiran S"/>
        <s v="Amit R"/>
        <s v="Neha R"/>
        <s v="Suresh M"/>
        <s v="Anjali M"/>
        <s v="Anjali K"/>
        <s v="Pooja M"/>
        <s v="Ravi K"/>
        <s v="Rahul S"/>
        <s v="Priya M"/>
        <s v="Sneha S"/>
        <s v="Kiran K"/>
        <s v="Pooja S"/>
        <s v="Rahul K"/>
        <s v="Amit S"/>
        <s v="Sneha R"/>
        <s v="Suresh K"/>
        <s v="Ravi S"/>
        <s v="Amit M"/>
        <s v="Anjali R"/>
        <s v="Pooja K"/>
        <s v="Neha M"/>
        <s v="Priya K"/>
        <s v="Neha S"/>
      </sharedItems>
    </cacheField>
    <cacheField name="Gender" numFmtId="0">
      <sharedItems/>
    </cacheField>
    <cacheField name="Age" numFmtId="0">
      <sharedItems containsSemiMixedTypes="0" containsString="0" containsNumber="1" containsInteger="1" minValue="22" maxValue="60"/>
    </cacheField>
    <cacheField name="School_Name" numFmtId="0">
      <sharedItems/>
    </cacheField>
    <cacheField name="Subject" numFmtId="0">
      <sharedItems/>
    </cacheField>
    <cacheField name="Course_Name" numFmtId="0">
      <sharedItems count="5">
        <s v="EdTech Tools"/>
        <s v="Digital Teaching"/>
        <s v="Classroom Management"/>
        <s v="Inclusive Education"/>
        <s v="Assessment Skills"/>
      </sharedItems>
    </cacheField>
    <cacheField name="Course_Category" numFmtId="0">
      <sharedItems/>
    </cacheField>
    <cacheField name="Mode_of_Training" numFmtId="0">
      <sharedItems count="3">
        <s v="Offline"/>
        <s v="Online"/>
        <s v="Hybrid"/>
      </sharedItems>
    </cacheField>
    <cacheField name="Start_Date" numFmtId="164">
      <sharedItems containsSemiMixedTypes="0" containsNonDate="0" containsDate="1" containsString="0" minDate="2024-01-01T00:00:00" maxDate="2024-10-28T00:00:00"/>
    </cacheField>
    <cacheField name="End_Date" numFmtId="164">
      <sharedItems containsSemiMixedTypes="0" containsNonDate="0" containsDate="1" containsString="0" minDate="2024-01-07T00:00:00" maxDate="2024-12-22T00:00:00"/>
    </cacheField>
    <cacheField name="Completion_Status" numFmtId="0">
      <sharedItems count="3">
        <s v="In Progress"/>
        <s v="Completed"/>
        <s v="Not Completed"/>
      </sharedItems>
    </cacheField>
    <cacheField name="Completion_Percentage" numFmtId="2">
      <sharedItems containsSemiMixedTypes="0" containsString="0" containsNumber="1" containsInteger="1" minValue="0" maxValue="100"/>
    </cacheField>
    <cacheField name="Assessment_Score" numFmtId="0">
      <sharedItems containsString="0" containsBlank="1" containsNumber="1" containsInteger="1" minValue="50" maxValue="100"/>
    </cacheField>
    <cacheField name="Certificate_Issued" numFmtId="0">
      <sharedItems/>
    </cacheField>
    <cacheField name="Training_Hours" numFmtId="0">
      <sharedItems containsSemiMixedTypes="0" containsString="0" containsNumber="1" containsInteger="1" minValue="5" maxValue="60"/>
    </cacheField>
    <cacheField name="Region" numFmtId="0">
      <sharedItems/>
    </cacheField>
    <cacheField name="State" numFmtId="0">
      <sharedItems count="5">
        <s v="Delhi"/>
        <s v="Kerala"/>
        <s v="Maharashtra"/>
        <s v="Karnataka"/>
        <s v="Tamil Nadu"/>
      </sharedItems>
    </cacheField>
    <cacheField name="Email_ID" numFmtId="0">
      <sharedItems/>
    </cacheField>
    <cacheField name="Experience_Years" numFmtId="0">
      <sharedItems containsSemiMixedTypes="0" containsString="0" containsNumber="1" containsInteger="1" minValue="1" maxValue="35"/>
    </cacheField>
    <cacheField name="Certificate_Status_Clean" numFmtId="0">
      <sharedItems/>
    </cacheField>
    <cacheField name="Completed_Flag" numFmtId="0">
      <sharedItems containsSemiMixedTypes="0" containsString="0" containsNumber="1" containsInteger="1" minValue="0" maxValue="1"/>
    </cacheField>
    <cacheField name="Enrollment_Flag" numFmtId="0">
      <sharedItems containsSemiMixedTypes="0" containsString="0" containsNumber="1" containsInteger="1" minValue="1" maxValue="1"/>
    </cacheField>
    <cacheField name="Training_Duration_Days" numFmtId="0">
      <sharedItems containsSemiMixedTypes="0" containsString="0" containsNumber="1" containsInteger="1" minValue="5" maxValue="60"/>
    </cacheField>
    <cacheField name="Experience_Band" numFmtId="0">
      <sharedItems count="4">
        <s v="0-5 Years"/>
        <s v="11-20 Years"/>
        <s v="5-10 Years"/>
        <s v="20+ Years"/>
      </sharedItems>
    </cacheField>
    <cacheField name="Completion Rate" numFmtId="0" formula="Completed_Flag/Enrollment_Flag" databaseField="0"/>
    <cacheField name="State Completion %" numFmtId="0" formula="Completed_Flag/Enrollment_Flag" databaseField="0"/>
    <cacheField name="Field1" numFmtId="0" formula="Completed_Flag/Enrollment_Flag" databaseField="0"/>
  </cacheFields>
  <extLst>
    <ext xmlns:x14="http://schemas.microsoft.com/office/spreadsheetml/2009/9/main" uri="{725AE2AE-9491-48be-B2B4-4EB974FC3084}">
      <x14:pivotCacheDefinition pivotCacheId="167385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0001"/>
    <x v="0"/>
    <s v="Female"/>
    <n v="47"/>
    <s v="Public School"/>
    <s v="Science"/>
    <x v="0"/>
    <s v="Assessment"/>
    <x v="0"/>
    <d v="2024-04-24T00:00:00"/>
    <d v="2024-05-07T00:00:00"/>
    <x v="0"/>
    <n v="67"/>
    <m/>
    <s v="No"/>
    <n v="32"/>
    <s v="North"/>
    <x v="0"/>
    <s v="teacher1@school.edu"/>
    <n v="3"/>
    <s v="No"/>
    <n v="0"/>
    <n v="1"/>
    <n v="13"/>
    <x v="0"/>
  </r>
  <r>
    <s v="T0002"/>
    <x v="1"/>
    <s v="Male"/>
    <n v="22"/>
    <s v="International School"/>
    <s v="Social Science"/>
    <x v="1"/>
    <s v="Professional Development"/>
    <x v="0"/>
    <d v="2024-05-29T00:00:00"/>
    <d v="2024-07-04T00:00:00"/>
    <x v="0"/>
    <n v="45"/>
    <m/>
    <s v="No"/>
    <n v="39"/>
    <s v="South"/>
    <x v="1"/>
    <s v="teacher2@school.edu"/>
    <n v="3"/>
    <s v="No"/>
    <n v="0"/>
    <n v="1"/>
    <n v="36"/>
    <x v="0"/>
  </r>
  <r>
    <s v="T0003"/>
    <x v="2"/>
    <s v="Female"/>
    <n v="33"/>
    <s v="Public School"/>
    <s v="Science"/>
    <x v="2"/>
    <s v="Assessment"/>
    <x v="1"/>
    <d v="2024-03-09T00:00:00"/>
    <d v="2024-03-29T00:00:00"/>
    <x v="0"/>
    <n v="53"/>
    <m/>
    <s v="No"/>
    <n v="39"/>
    <s v="South"/>
    <x v="0"/>
    <s v="teacher3@school.edu"/>
    <n v="3"/>
    <s v="No"/>
    <n v="0"/>
    <n v="1"/>
    <n v="20"/>
    <x v="0"/>
  </r>
  <r>
    <s v="T0004"/>
    <x v="3"/>
    <s v="Female"/>
    <n v="43"/>
    <s v="Public School"/>
    <s v="Social Science"/>
    <x v="2"/>
    <s v="Pedagogy"/>
    <x v="2"/>
    <d v="2024-05-17T00:00:00"/>
    <d v="2024-07-15T00:00:00"/>
    <x v="1"/>
    <n v="78"/>
    <n v="92"/>
    <s v="Yes"/>
    <n v="13"/>
    <s v="North"/>
    <x v="0"/>
    <s v="teacher4@school.edu"/>
    <n v="13"/>
    <s v="Yes"/>
    <n v="1"/>
    <n v="1"/>
    <n v="59"/>
    <x v="1"/>
  </r>
  <r>
    <s v="T0005"/>
    <x v="4"/>
    <s v="Female"/>
    <n v="37"/>
    <s v="Central School"/>
    <s v="Social Science"/>
    <x v="3"/>
    <s v="Technology"/>
    <x v="1"/>
    <d v="2024-05-28T00:00:00"/>
    <d v="2024-07-23T00:00:00"/>
    <x v="2"/>
    <n v="1"/>
    <m/>
    <s v="No"/>
    <n v="52"/>
    <s v="West"/>
    <x v="2"/>
    <s v="teacher5@school.edu"/>
    <n v="19"/>
    <s v="No"/>
    <n v="0"/>
    <n v="1"/>
    <n v="56"/>
    <x v="1"/>
  </r>
  <r>
    <s v="T0006"/>
    <x v="5"/>
    <s v="Male"/>
    <n v="33"/>
    <s v="Govt High School"/>
    <s v="Maths"/>
    <x v="0"/>
    <s v="Technology"/>
    <x v="2"/>
    <d v="2024-09-10T00:00:00"/>
    <d v="2024-09-29T00:00:00"/>
    <x v="1"/>
    <n v="73"/>
    <n v="56"/>
    <s v="Yes"/>
    <n v="24"/>
    <s v="East"/>
    <x v="0"/>
    <s v="teacher6@school.edu"/>
    <n v="8"/>
    <s v="Yes"/>
    <n v="1"/>
    <n v="1"/>
    <n v="19"/>
    <x v="2"/>
  </r>
  <r>
    <s v="T0007"/>
    <x v="6"/>
    <s v="Female"/>
    <n v="49"/>
    <s v="International School"/>
    <s v="Maths"/>
    <x v="2"/>
    <s v="Technology"/>
    <x v="0"/>
    <d v="2024-06-15T00:00:00"/>
    <d v="2024-07-07T00:00:00"/>
    <x v="1"/>
    <n v="84"/>
    <n v="67"/>
    <s v="Yes"/>
    <n v="27"/>
    <s v="East"/>
    <x v="3"/>
    <s v="teacher7@school.edu"/>
    <n v="15"/>
    <s v="Yes"/>
    <n v="1"/>
    <n v="1"/>
    <n v="22"/>
    <x v="1"/>
  </r>
  <r>
    <s v="T0008"/>
    <x v="7"/>
    <s v="Female"/>
    <n v="41"/>
    <s v="Govt High School"/>
    <s v="Social Science"/>
    <x v="4"/>
    <s v="Technology"/>
    <x v="1"/>
    <d v="2024-09-15T00:00:00"/>
    <d v="2024-09-30T00:00:00"/>
    <x v="0"/>
    <n v="81"/>
    <m/>
    <s v="No"/>
    <n v="54"/>
    <s v="North"/>
    <x v="2"/>
    <s v="teacher8@school.edu"/>
    <n v="35"/>
    <s v="No"/>
    <n v="0"/>
    <n v="1"/>
    <n v="15"/>
    <x v="3"/>
  </r>
  <r>
    <s v="T0009"/>
    <x v="8"/>
    <s v="Male"/>
    <n v="31"/>
    <s v="Govt High School"/>
    <s v="Maths"/>
    <x v="0"/>
    <s v="Professional Development"/>
    <x v="1"/>
    <d v="2024-08-30T00:00:00"/>
    <d v="2024-09-15T00:00:00"/>
    <x v="0"/>
    <n v="67"/>
    <m/>
    <s v="No"/>
    <n v="45"/>
    <s v="South"/>
    <x v="0"/>
    <s v="teacher9@school.edu"/>
    <n v="25"/>
    <s v="No"/>
    <n v="0"/>
    <n v="1"/>
    <n v="16"/>
    <x v="3"/>
  </r>
  <r>
    <s v="T0010"/>
    <x v="9"/>
    <s v="Female"/>
    <n v="29"/>
    <s v="Central School"/>
    <s v="English"/>
    <x v="0"/>
    <s v="Professional Development"/>
    <x v="1"/>
    <d v="2024-03-06T00:00:00"/>
    <d v="2024-05-03T00:00:00"/>
    <x v="1"/>
    <n v="92"/>
    <n v="92"/>
    <s v="Yes"/>
    <n v="45"/>
    <s v="South"/>
    <x v="2"/>
    <s v="teacher10@school.edu"/>
    <n v="23"/>
    <s v="Yes"/>
    <n v="1"/>
    <n v="1"/>
    <n v="58"/>
    <x v="3"/>
  </r>
  <r>
    <s v="T0011"/>
    <x v="10"/>
    <s v="Male"/>
    <n v="59"/>
    <s v="Govt High School"/>
    <s v="English"/>
    <x v="3"/>
    <s v="Assessment"/>
    <x v="0"/>
    <d v="2024-01-08T00:00:00"/>
    <d v="2024-02-21T00:00:00"/>
    <x v="2"/>
    <n v="4"/>
    <m/>
    <s v="No"/>
    <n v="24"/>
    <s v="South"/>
    <x v="2"/>
    <s v="teacher11@school.edu"/>
    <n v="15"/>
    <s v="No"/>
    <n v="0"/>
    <n v="1"/>
    <n v="44"/>
    <x v="1"/>
  </r>
  <r>
    <s v="T0012"/>
    <x v="11"/>
    <s v="Male"/>
    <n v="41"/>
    <s v="International School"/>
    <s v="Science"/>
    <x v="1"/>
    <s v="Pedagogy"/>
    <x v="1"/>
    <d v="2024-08-14T00:00:00"/>
    <d v="2024-08-25T00:00:00"/>
    <x v="0"/>
    <n v="97"/>
    <m/>
    <s v="No"/>
    <n v="7"/>
    <s v="East"/>
    <x v="3"/>
    <s v="teacher12@school.edu"/>
    <n v="31"/>
    <s v="No"/>
    <n v="0"/>
    <n v="1"/>
    <n v="11"/>
    <x v="3"/>
  </r>
  <r>
    <s v="T0013"/>
    <x v="6"/>
    <s v="Female"/>
    <n v="23"/>
    <s v="Govt High School"/>
    <s v="Social Science"/>
    <x v="3"/>
    <s v="Pedagogy"/>
    <x v="1"/>
    <d v="2024-07-31T00:00:00"/>
    <d v="2024-09-19T00:00:00"/>
    <x v="2"/>
    <n v="1"/>
    <m/>
    <s v="No"/>
    <n v="44"/>
    <s v="West"/>
    <x v="1"/>
    <s v="teacher13@school.edu"/>
    <n v="34"/>
    <s v="No"/>
    <n v="0"/>
    <n v="1"/>
    <n v="50"/>
    <x v="3"/>
  </r>
  <r>
    <s v="T0014"/>
    <x v="12"/>
    <s v="Male"/>
    <n v="42"/>
    <s v="Central School"/>
    <s v="Science"/>
    <x v="1"/>
    <s v="Pedagogy"/>
    <x v="2"/>
    <d v="2024-03-02T00:00:00"/>
    <d v="2024-04-19T00:00:00"/>
    <x v="0"/>
    <n v="99"/>
    <m/>
    <s v="No"/>
    <n v="23"/>
    <s v="South"/>
    <x v="0"/>
    <s v="teacher14@school.edu"/>
    <n v="34"/>
    <s v="No"/>
    <n v="0"/>
    <n v="1"/>
    <n v="48"/>
    <x v="3"/>
  </r>
  <r>
    <s v="T0015"/>
    <x v="10"/>
    <s v="Female"/>
    <n v="53"/>
    <s v="Central School"/>
    <s v="English"/>
    <x v="2"/>
    <s v="Professional Development"/>
    <x v="0"/>
    <d v="2024-10-13T00:00:00"/>
    <d v="2024-10-25T00:00:00"/>
    <x v="1"/>
    <n v="73"/>
    <n v="56"/>
    <s v="Yes"/>
    <n v="36"/>
    <s v="South"/>
    <x v="0"/>
    <s v="teacher15@school.edu"/>
    <n v="18"/>
    <s v="Yes"/>
    <n v="1"/>
    <n v="1"/>
    <n v="12"/>
    <x v="1"/>
  </r>
  <r>
    <s v="T0016"/>
    <x v="13"/>
    <s v="Female"/>
    <n v="47"/>
    <s v="Govt High School"/>
    <s v="Computer Science"/>
    <x v="4"/>
    <s v="Assessment"/>
    <x v="1"/>
    <d v="2024-03-27T00:00:00"/>
    <d v="2024-05-02T00:00:00"/>
    <x v="2"/>
    <n v="13"/>
    <m/>
    <s v="No"/>
    <n v="48"/>
    <s v="North"/>
    <x v="3"/>
    <s v="teacher16@school.edu"/>
    <n v="31"/>
    <s v="No"/>
    <n v="0"/>
    <n v="1"/>
    <n v="36"/>
    <x v="3"/>
  </r>
  <r>
    <s v="T0017"/>
    <x v="14"/>
    <s v="Male"/>
    <n v="59"/>
    <s v="Central School"/>
    <s v="Computer Science"/>
    <x v="3"/>
    <s v="Assessment"/>
    <x v="1"/>
    <d v="2024-03-13T00:00:00"/>
    <d v="2024-04-15T00:00:00"/>
    <x v="0"/>
    <n v="50"/>
    <m/>
    <s v="No"/>
    <n v="52"/>
    <s v="West"/>
    <x v="4"/>
    <s v="teacher17@school.edu"/>
    <n v="33"/>
    <s v="No"/>
    <n v="0"/>
    <n v="1"/>
    <n v="33"/>
    <x v="3"/>
  </r>
  <r>
    <s v="T0018"/>
    <x v="15"/>
    <s v="Male"/>
    <n v="29"/>
    <s v="International School"/>
    <s v="Computer Science"/>
    <x v="2"/>
    <s v="Assessment"/>
    <x v="2"/>
    <d v="2024-04-08T00:00:00"/>
    <d v="2024-05-10T00:00:00"/>
    <x v="2"/>
    <n v="21"/>
    <m/>
    <s v="No"/>
    <n v="17"/>
    <s v="South"/>
    <x v="4"/>
    <s v="teacher18@school.edu"/>
    <n v="32"/>
    <s v="No"/>
    <n v="0"/>
    <n v="1"/>
    <n v="32"/>
    <x v="3"/>
  </r>
  <r>
    <s v="T0019"/>
    <x v="16"/>
    <s v="Male"/>
    <n v="47"/>
    <s v="Govt High School"/>
    <s v="Science"/>
    <x v="3"/>
    <s v="Technology"/>
    <x v="0"/>
    <d v="2024-07-11T00:00:00"/>
    <d v="2024-08-16T00:00:00"/>
    <x v="1"/>
    <n v="41"/>
    <n v="88"/>
    <s v="Yes"/>
    <n v="16"/>
    <s v="East"/>
    <x v="1"/>
    <s v="teacher19@school.edu"/>
    <n v="20"/>
    <s v="Yes"/>
    <n v="1"/>
    <n v="1"/>
    <n v="36"/>
    <x v="1"/>
  </r>
  <r>
    <s v="T0020"/>
    <x v="13"/>
    <s v="Female"/>
    <n v="30"/>
    <s v="International School"/>
    <s v="Computer Science"/>
    <x v="1"/>
    <s v="Assessment"/>
    <x v="1"/>
    <d v="2024-08-14T00:00:00"/>
    <d v="2024-08-19T00:00:00"/>
    <x v="2"/>
    <n v="5"/>
    <m/>
    <s v="No"/>
    <n v="22"/>
    <s v="North"/>
    <x v="3"/>
    <s v="teacher20@school.edu"/>
    <n v="5"/>
    <s v="No"/>
    <n v="0"/>
    <n v="1"/>
    <n v="5"/>
    <x v="0"/>
  </r>
  <r>
    <s v="T0021"/>
    <x v="17"/>
    <s v="Male"/>
    <n v="32"/>
    <s v="Central School"/>
    <s v="English"/>
    <x v="4"/>
    <s v="Pedagogy"/>
    <x v="0"/>
    <d v="2024-08-30T00:00:00"/>
    <d v="2024-10-05T00:00:00"/>
    <x v="0"/>
    <n v="98"/>
    <m/>
    <s v="No"/>
    <n v="33"/>
    <s v="South"/>
    <x v="4"/>
    <s v="teacher21@school.edu"/>
    <n v="33"/>
    <s v="No"/>
    <n v="0"/>
    <n v="1"/>
    <n v="36"/>
    <x v="3"/>
  </r>
  <r>
    <s v="T0022"/>
    <x v="18"/>
    <s v="Male"/>
    <n v="52"/>
    <s v="Central School"/>
    <s v="Maths"/>
    <x v="0"/>
    <s v="Technology"/>
    <x v="0"/>
    <d v="2024-10-10T00:00:00"/>
    <d v="2024-11-01T00:00:00"/>
    <x v="0"/>
    <n v="93"/>
    <m/>
    <s v="No"/>
    <n v="38"/>
    <s v="North"/>
    <x v="0"/>
    <s v="teacher22@school.edu"/>
    <n v="8"/>
    <s v="No"/>
    <n v="0"/>
    <n v="1"/>
    <n v="22"/>
    <x v="2"/>
  </r>
  <r>
    <s v="T0023"/>
    <x v="19"/>
    <s v="Female"/>
    <n v="58"/>
    <s v="Public School"/>
    <s v="Computer Science"/>
    <x v="1"/>
    <s v="Technology"/>
    <x v="2"/>
    <d v="2024-01-11T00:00:00"/>
    <d v="2024-02-14T00:00:00"/>
    <x v="1"/>
    <n v="77"/>
    <n v="65"/>
    <s v="Yes"/>
    <n v="48"/>
    <s v="East"/>
    <x v="3"/>
    <s v="teacher23@school.edu"/>
    <n v="24"/>
    <s v="Yes"/>
    <n v="1"/>
    <n v="1"/>
    <n v="34"/>
    <x v="3"/>
  </r>
  <r>
    <s v="T0024"/>
    <x v="20"/>
    <s v="Male"/>
    <n v="23"/>
    <s v="Public School"/>
    <s v="Social Science"/>
    <x v="3"/>
    <s v="Technology"/>
    <x v="0"/>
    <d v="2024-08-19T00:00:00"/>
    <d v="2024-08-31T00:00:00"/>
    <x v="0"/>
    <n v="92"/>
    <m/>
    <s v="No"/>
    <n v="22"/>
    <s v="North"/>
    <x v="4"/>
    <s v="teacher24@school.edu"/>
    <n v="14"/>
    <s v="No"/>
    <n v="0"/>
    <n v="1"/>
    <n v="12"/>
    <x v="1"/>
  </r>
  <r>
    <s v="T0025"/>
    <x v="8"/>
    <s v="Male"/>
    <n v="32"/>
    <s v="Public School"/>
    <s v="Computer Science"/>
    <x v="4"/>
    <s v="Professional Development"/>
    <x v="0"/>
    <d v="2024-09-13T00:00:00"/>
    <d v="2024-10-19T00:00:00"/>
    <x v="0"/>
    <n v="69"/>
    <m/>
    <s v="No"/>
    <n v="15"/>
    <s v="West"/>
    <x v="4"/>
    <s v="teacher25@school.edu"/>
    <n v="1"/>
    <s v="No"/>
    <n v="0"/>
    <n v="1"/>
    <n v="36"/>
    <x v="0"/>
  </r>
  <r>
    <s v="T0026"/>
    <x v="18"/>
    <s v="Male"/>
    <n v="25"/>
    <s v="Public School"/>
    <s v="Social Science"/>
    <x v="3"/>
    <s v="Assessment"/>
    <x v="2"/>
    <d v="2024-10-08T00:00:00"/>
    <d v="2024-12-06T00:00:00"/>
    <x v="1"/>
    <n v="74"/>
    <n v="75"/>
    <s v="Yes"/>
    <n v="30"/>
    <s v="South"/>
    <x v="4"/>
    <s v="teacher26@school.edu"/>
    <n v="18"/>
    <s v="Yes"/>
    <n v="1"/>
    <n v="1"/>
    <n v="59"/>
    <x v="1"/>
  </r>
  <r>
    <s v="T0027"/>
    <x v="2"/>
    <s v="Male"/>
    <n v="29"/>
    <s v="Govt High School"/>
    <s v="English"/>
    <x v="2"/>
    <s v="Technology"/>
    <x v="2"/>
    <d v="2024-07-01T00:00:00"/>
    <d v="2024-07-27T00:00:00"/>
    <x v="0"/>
    <n v="63"/>
    <m/>
    <s v="No"/>
    <n v="31"/>
    <s v="North"/>
    <x v="0"/>
    <s v="teacher27@school.edu"/>
    <n v="16"/>
    <s v="No"/>
    <n v="0"/>
    <n v="1"/>
    <n v="26"/>
    <x v="1"/>
  </r>
  <r>
    <s v="T0028"/>
    <x v="21"/>
    <s v="Male"/>
    <n v="53"/>
    <s v="Central School"/>
    <s v="English"/>
    <x v="0"/>
    <s v="Pedagogy"/>
    <x v="1"/>
    <d v="2024-03-15T00:00:00"/>
    <d v="2024-04-13T00:00:00"/>
    <x v="1"/>
    <n v="83"/>
    <n v="99"/>
    <s v="Yes"/>
    <n v="19"/>
    <s v="South"/>
    <x v="3"/>
    <s v="teacher28@school.edu"/>
    <n v="18"/>
    <s v="Yes"/>
    <n v="1"/>
    <n v="1"/>
    <n v="29"/>
    <x v="1"/>
  </r>
  <r>
    <s v="T0029"/>
    <x v="15"/>
    <s v="Female"/>
    <n v="42"/>
    <s v="Public School"/>
    <s v="Computer Science"/>
    <x v="0"/>
    <s v="Pedagogy"/>
    <x v="2"/>
    <d v="2024-04-28T00:00:00"/>
    <d v="2024-06-02T00:00:00"/>
    <x v="2"/>
    <n v="9"/>
    <m/>
    <s v="No"/>
    <n v="14"/>
    <s v="East"/>
    <x v="1"/>
    <s v="teacher29@school.edu"/>
    <n v="24"/>
    <s v="No"/>
    <n v="0"/>
    <n v="1"/>
    <n v="35"/>
    <x v="3"/>
  </r>
  <r>
    <s v="T0030"/>
    <x v="14"/>
    <s v="Male"/>
    <n v="23"/>
    <s v="Central School"/>
    <s v="English"/>
    <x v="1"/>
    <s v="Professional Development"/>
    <x v="0"/>
    <d v="2024-04-07T00:00:00"/>
    <d v="2024-04-26T00:00:00"/>
    <x v="1"/>
    <n v="84"/>
    <n v="93"/>
    <s v="Yes"/>
    <n v="11"/>
    <s v="East"/>
    <x v="1"/>
    <s v="teacher30@school.edu"/>
    <n v="21"/>
    <s v="Yes"/>
    <n v="1"/>
    <n v="1"/>
    <n v="19"/>
    <x v="3"/>
  </r>
  <r>
    <s v="T0031"/>
    <x v="22"/>
    <s v="Female"/>
    <n v="23"/>
    <s v="Central School"/>
    <s v="Social Science"/>
    <x v="2"/>
    <s v="Pedagogy"/>
    <x v="0"/>
    <d v="2024-04-30T00:00:00"/>
    <d v="2024-06-22T00:00:00"/>
    <x v="2"/>
    <n v="26"/>
    <m/>
    <s v="No"/>
    <n v="33"/>
    <s v="North"/>
    <x v="2"/>
    <s v="teacher31@school.edu"/>
    <n v="28"/>
    <s v="No"/>
    <n v="0"/>
    <n v="1"/>
    <n v="53"/>
    <x v="3"/>
  </r>
  <r>
    <s v="T0032"/>
    <x v="0"/>
    <s v="Male"/>
    <n v="45"/>
    <s v="International School"/>
    <s v="Science"/>
    <x v="3"/>
    <s v="Assessment"/>
    <x v="2"/>
    <d v="2024-02-21T00:00:00"/>
    <d v="2024-04-10T00:00:00"/>
    <x v="0"/>
    <n v="99"/>
    <m/>
    <s v="No"/>
    <n v="50"/>
    <s v="West"/>
    <x v="1"/>
    <s v="teacher32@school.edu"/>
    <n v="14"/>
    <s v="No"/>
    <n v="0"/>
    <n v="1"/>
    <n v="49"/>
    <x v="1"/>
  </r>
  <r>
    <s v="T0033"/>
    <x v="23"/>
    <s v="Female"/>
    <n v="51"/>
    <s v="Govt High School"/>
    <s v="Maths"/>
    <x v="3"/>
    <s v="Professional Development"/>
    <x v="1"/>
    <d v="2024-09-29T00:00:00"/>
    <d v="2024-10-20T00:00:00"/>
    <x v="0"/>
    <n v="60"/>
    <m/>
    <s v="No"/>
    <n v="49"/>
    <s v="West"/>
    <x v="1"/>
    <s v="teacher33@school.edu"/>
    <n v="26"/>
    <s v="No"/>
    <n v="0"/>
    <n v="1"/>
    <n v="21"/>
    <x v="3"/>
  </r>
  <r>
    <s v="T0034"/>
    <x v="10"/>
    <s v="Male"/>
    <n v="27"/>
    <s v="Central School"/>
    <s v="English"/>
    <x v="1"/>
    <s v="Assessment"/>
    <x v="2"/>
    <d v="2024-07-03T00:00:00"/>
    <d v="2024-07-14T00:00:00"/>
    <x v="1"/>
    <n v="40"/>
    <n v="56"/>
    <s v="Yes"/>
    <n v="35"/>
    <s v="East"/>
    <x v="2"/>
    <s v="teacher34@school.edu"/>
    <n v="21"/>
    <s v="Yes"/>
    <n v="1"/>
    <n v="1"/>
    <n v="11"/>
    <x v="3"/>
  </r>
  <r>
    <s v="T0035"/>
    <x v="16"/>
    <s v="Female"/>
    <n v="51"/>
    <s v="International School"/>
    <s v="English"/>
    <x v="2"/>
    <s v="Assessment"/>
    <x v="0"/>
    <d v="2024-04-25T00:00:00"/>
    <d v="2024-05-04T00:00:00"/>
    <x v="1"/>
    <n v="68"/>
    <n v="56"/>
    <s v="Yes"/>
    <n v="40"/>
    <s v="East"/>
    <x v="3"/>
    <s v="teacher35@school.edu"/>
    <n v="30"/>
    <s v="Yes"/>
    <n v="1"/>
    <n v="1"/>
    <n v="9"/>
    <x v="3"/>
  </r>
  <r>
    <s v="T0036"/>
    <x v="17"/>
    <s v="Male"/>
    <n v="43"/>
    <s v="International School"/>
    <s v="Maths"/>
    <x v="0"/>
    <s v="Professional Development"/>
    <x v="1"/>
    <d v="2024-02-06T00:00:00"/>
    <d v="2024-02-15T00:00:00"/>
    <x v="2"/>
    <n v="2"/>
    <m/>
    <s v="No"/>
    <n v="52"/>
    <s v="West"/>
    <x v="4"/>
    <s v="teacher36@school.edu"/>
    <n v="16"/>
    <s v="No"/>
    <n v="0"/>
    <n v="1"/>
    <n v="9"/>
    <x v="1"/>
  </r>
  <r>
    <s v="T0037"/>
    <x v="17"/>
    <s v="Female"/>
    <n v="48"/>
    <s v="Govt High School"/>
    <s v="Science"/>
    <x v="0"/>
    <s v="Assessment"/>
    <x v="1"/>
    <d v="2024-09-21T00:00:00"/>
    <d v="2024-10-07T00:00:00"/>
    <x v="1"/>
    <n v="76"/>
    <n v="97"/>
    <s v="Yes"/>
    <n v="29"/>
    <s v="West"/>
    <x v="1"/>
    <s v="teacher37@school.edu"/>
    <n v="8"/>
    <s v="Yes"/>
    <n v="1"/>
    <n v="1"/>
    <n v="16"/>
    <x v="2"/>
  </r>
  <r>
    <s v="T0038"/>
    <x v="24"/>
    <s v="Male"/>
    <n v="23"/>
    <s v="Public School"/>
    <s v="Science"/>
    <x v="4"/>
    <s v="Professional Development"/>
    <x v="2"/>
    <d v="2024-04-28T00:00:00"/>
    <d v="2024-05-10T00:00:00"/>
    <x v="0"/>
    <n v="56"/>
    <m/>
    <s v="No"/>
    <n v="18"/>
    <s v="East"/>
    <x v="1"/>
    <s v="teacher38@school.edu"/>
    <n v="15"/>
    <s v="No"/>
    <n v="0"/>
    <n v="1"/>
    <n v="12"/>
    <x v="1"/>
  </r>
  <r>
    <s v="T0039"/>
    <x v="3"/>
    <s v="Male"/>
    <n v="60"/>
    <s v="International School"/>
    <s v="Computer Science"/>
    <x v="2"/>
    <s v="Assessment"/>
    <x v="2"/>
    <d v="2024-06-15T00:00:00"/>
    <d v="2024-07-03T00:00:00"/>
    <x v="0"/>
    <n v="79"/>
    <m/>
    <s v="No"/>
    <n v="12"/>
    <s v="South"/>
    <x v="4"/>
    <s v="teacher39@school.edu"/>
    <n v="18"/>
    <s v="No"/>
    <n v="0"/>
    <n v="1"/>
    <n v="18"/>
    <x v="1"/>
  </r>
  <r>
    <s v="T0040"/>
    <x v="8"/>
    <s v="Female"/>
    <n v="40"/>
    <s v="Central School"/>
    <s v="Social Science"/>
    <x v="3"/>
    <s v="Assessment"/>
    <x v="2"/>
    <d v="2024-10-20T00:00:00"/>
    <d v="2024-11-08T00:00:00"/>
    <x v="1"/>
    <n v="66"/>
    <n v="70"/>
    <s v="Yes"/>
    <n v="30"/>
    <s v="North"/>
    <x v="2"/>
    <s v="teacher40@school.edu"/>
    <n v="23"/>
    <s v="Yes"/>
    <n v="1"/>
    <n v="1"/>
    <n v="19"/>
    <x v="3"/>
  </r>
  <r>
    <s v="T0041"/>
    <x v="20"/>
    <s v="Male"/>
    <n v="28"/>
    <s v="Central School"/>
    <s v="Social Science"/>
    <x v="0"/>
    <s v="Pedagogy"/>
    <x v="1"/>
    <d v="2024-01-01T00:00:00"/>
    <d v="2024-01-31T00:00:00"/>
    <x v="0"/>
    <n v="48"/>
    <m/>
    <s v="No"/>
    <n v="34"/>
    <s v="West"/>
    <x v="0"/>
    <s v="teacher41@school.edu"/>
    <n v="8"/>
    <s v="No"/>
    <n v="0"/>
    <n v="1"/>
    <n v="30"/>
    <x v="2"/>
  </r>
  <r>
    <s v="T0042"/>
    <x v="12"/>
    <s v="Female"/>
    <n v="46"/>
    <s v="International School"/>
    <s v="Science"/>
    <x v="3"/>
    <s v="Professional Development"/>
    <x v="1"/>
    <d v="2024-10-20T00:00:00"/>
    <d v="2024-12-02T00:00:00"/>
    <x v="0"/>
    <n v="73"/>
    <m/>
    <s v="No"/>
    <n v="52"/>
    <s v="East"/>
    <x v="3"/>
    <s v="teacher42@school.edu"/>
    <n v="11"/>
    <s v="No"/>
    <n v="0"/>
    <n v="1"/>
    <n v="43"/>
    <x v="1"/>
  </r>
  <r>
    <s v="T0043"/>
    <x v="25"/>
    <s v="Female"/>
    <n v="58"/>
    <s v="Public School"/>
    <s v="English"/>
    <x v="3"/>
    <s v="Technology"/>
    <x v="1"/>
    <d v="2024-10-06T00:00:00"/>
    <d v="2024-11-15T00:00:00"/>
    <x v="2"/>
    <n v="33"/>
    <m/>
    <s v="No"/>
    <n v="21"/>
    <s v="South"/>
    <x v="1"/>
    <s v="teacher43@school.edu"/>
    <n v="28"/>
    <s v="No"/>
    <n v="0"/>
    <n v="1"/>
    <n v="40"/>
    <x v="3"/>
  </r>
  <r>
    <s v="T0044"/>
    <x v="2"/>
    <s v="Male"/>
    <n v="46"/>
    <s v="International School"/>
    <s v="Science"/>
    <x v="2"/>
    <s v="Technology"/>
    <x v="0"/>
    <d v="2024-04-12T00:00:00"/>
    <d v="2024-05-24T00:00:00"/>
    <x v="2"/>
    <n v="18"/>
    <m/>
    <s v="No"/>
    <n v="15"/>
    <s v="East"/>
    <x v="1"/>
    <s v="teacher44@school.edu"/>
    <n v="31"/>
    <s v="No"/>
    <n v="0"/>
    <n v="1"/>
    <n v="42"/>
    <x v="3"/>
  </r>
  <r>
    <s v="T0045"/>
    <x v="24"/>
    <s v="Male"/>
    <n v="23"/>
    <s v="Central School"/>
    <s v="Computer Science"/>
    <x v="0"/>
    <s v="Professional Development"/>
    <x v="1"/>
    <d v="2024-01-28T00:00:00"/>
    <d v="2024-02-27T00:00:00"/>
    <x v="2"/>
    <n v="40"/>
    <m/>
    <s v="No"/>
    <n v="7"/>
    <s v="East"/>
    <x v="1"/>
    <s v="teacher45@school.edu"/>
    <n v="13"/>
    <s v="No"/>
    <n v="0"/>
    <n v="1"/>
    <n v="30"/>
    <x v="1"/>
  </r>
  <r>
    <s v="T0046"/>
    <x v="5"/>
    <s v="Male"/>
    <n v="44"/>
    <s v="Govt High School"/>
    <s v="Social Science"/>
    <x v="0"/>
    <s v="Technology"/>
    <x v="0"/>
    <d v="2024-10-26T00:00:00"/>
    <d v="2024-11-18T00:00:00"/>
    <x v="0"/>
    <n v="77"/>
    <m/>
    <s v="No"/>
    <n v="41"/>
    <s v="West"/>
    <x v="2"/>
    <s v="teacher46@school.edu"/>
    <n v="26"/>
    <s v="No"/>
    <n v="0"/>
    <n v="1"/>
    <n v="23"/>
    <x v="3"/>
  </r>
  <r>
    <s v="T0047"/>
    <x v="26"/>
    <s v="Female"/>
    <n v="34"/>
    <s v="Central School"/>
    <s v="English"/>
    <x v="0"/>
    <s v="Technology"/>
    <x v="1"/>
    <d v="2024-05-11T00:00:00"/>
    <d v="2024-06-15T00:00:00"/>
    <x v="2"/>
    <n v="21"/>
    <m/>
    <s v="No"/>
    <n v="18"/>
    <s v="South"/>
    <x v="2"/>
    <s v="teacher47@school.edu"/>
    <n v="34"/>
    <s v="No"/>
    <n v="0"/>
    <n v="1"/>
    <n v="35"/>
    <x v="3"/>
  </r>
  <r>
    <s v="T0048"/>
    <x v="27"/>
    <s v="Female"/>
    <n v="32"/>
    <s v="Public School"/>
    <s v="Maths"/>
    <x v="1"/>
    <s v="Professional Development"/>
    <x v="0"/>
    <d v="2024-06-10T00:00:00"/>
    <d v="2024-07-06T00:00:00"/>
    <x v="0"/>
    <n v="91"/>
    <m/>
    <s v="No"/>
    <n v="23"/>
    <s v="South"/>
    <x v="3"/>
    <s v="teacher48@school.edu"/>
    <n v="20"/>
    <s v="No"/>
    <n v="0"/>
    <n v="1"/>
    <n v="26"/>
    <x v="1"/>
  </r>
  <r>
    <s v="T0049"/>
    <x v="28"/>
    <s v="Male"/>
    <n v="22"/>
    <s v="International School"/>
    <s v="Social Science"/>
    <x v="0"/>
    <s v="Assessment"/>
    <x v="1"/>
    <d v="2024-01-08T00:00:00"/>
    <d v="2024-01-14T00:00:00"/>
    <x v="2"/>
    <n v="26"/>
    <m/>
    <s v="No"/>
    <n v="19"/>
    <s v="South"/>
    <x v="4"/>
    <s v="teacher49@school.edu"/>
    <n v="2"/>
    <s v="No"/>
    <n v="0"/>
    <n v="1"/>
    <n v="6"/>
    <x v="0"/>
  </r>
  <r>
    <s v="T0050"/>
    <x v="29"/>
    <s v="Male"/>
    <n v="49"/>
    <s v="Govt High School"/>
    <s v="Computer Science"/>
    <x v="2"/>
    <s v="Pedagogy"/>
    <x v="0"/>
    <d v="2024-07-12T00:00:00"/>
    <d v="2024-09-01T00:00:00"/>
    <x v="1"/>
    <n v="99"/>
    <n v="83"/>
    <s v="Yes"/>
    <n v="52"/>
    <s v="East"/>
    <x v="0"/>
    <s v="teacher50@school.edu"/>
    <n v="4"/>
    <s v="Yes"/>
    <n v="1"/>
    <n v="1"/>
    <n v="51"/>
    <x v="0"/>
  </r>
  <r>
    <s v="T0051"/>
    <x v="30"/>
    <s v="Male"/>
    <n v="59"/>
    <s v="International School"/>
    <s v="Maths"/>
    <x v="3"/>
    <s v="Technology"/>
    <x v="0"/>
    <d v="2024-09-10T00:00:00"/>
    <d v="2024-10-03T00:00:00"/>
    <x v="1"/>
    <n v="57"/>
    <n v="85"/>
    <s v="Yes"/>
    <n v="42"/>
    <s v="East"/>
    <x v="0"/>
    <s v="teacher51@school.edu"/>
    <n v="20"/>
    <s v="Yes"/>
    <n v="1"/>
    <n v="1"/>
    <n v="23"/>
    <x v="1"/>
  </r>
  <r>
    <s v="T0052"/>
    <x v="31"/>
    <s v="Female"/>
    <n v="43"/>
    <s v="Central School"/>
    <s v="Social Science"/>
    <x v="3"/>
    <s v="Technology"/>
    <x v="0"/>
    <d v="2024-03-20T00:00:00"/>
    <d v="2024-03-26T00:00:00"/>
    <x v="0"/>
    <n v="47"/>
    <m/>
    <s v="No"/>
    <n v="10"/>
    <s v="North"/>
    <x v="2"/>
    <s v="teacher52@school.edu"/>
    <n v="9"/>
    <s v="No"/>
    <n v="0"/>
    <n v="1"/>
    <n v="6"/>
    <x v="2"/>
  </r>
  <r>
    <s v="T0053"/>
    <x v="32"/>
    <s v="Male"/>
    <n v="56"/>
    <s v="Govt High School"/>
    <s v="Social Science"/>
    <x v="0"/>
    <s v="Professional Development"/>
    <x v="2"/>
    <d v="2024-04-19T00:00:00"/>
    <d v="2024-05-08T00:00:00"/>
    <x v="0"/>
    <n v="66"/>
    <m/>
    <s v="No"/>
    <n v="20"/>
    <s v="West"/>
    <x v="1"/>
    <s v="teacher53@school.edu"/>
    <n v="24"/>
    <s v="No"/>
    <n v="0"/>
    <n v="1"/>
    <n v="19"/>
    <x v="3"/>
  </r>
  <r>
    <s v="T0054"/>
    <x v="33"/>
    <s v="Female"/>
    <n v="43"/>
    <s v="International School"/>
    <s v="Computer Science"/>
    <x v="0"/>
    <s v="Professional Development"/>
    <x v="0"/>
    <d v="2024-07-17T00:00:00"/>
    <d v="2024-08-16T00:00:00"/>
    <x v="2"/>
    <n v="36"/>
    <m/>
    <s v="No"/>
    <n v="11"/>
    <s v="East"/>
    <x v="3"/>
    <s v="teacher54@school.edu"/>
    <n v="31"/>
    <s v="No"/>
    <n v="0"/>
    <n v="1"/>
    <n v="30"/>
    <x v="3"/>
  </r>
  <r>
    <s v="T0055"/>
    <x v="32"/>
    <s v="Female"/>
    <n v="24"/>
    <s v="Public School"/>
    <s v="Science"/>
    <x v="2"/>
    <s v="Professional Development"/>
    <x v="0"/>
    <d v="2024-08-07T00:00:00"/>
    <d v="2024-10-03T00:00:00"/>
    <x v="1"/>
    <n v="97"/>
    <n v="71"/>
    <s v="Yes"/>
    <n v="59"/>
    <s v="North"/>
    <x v="2"/>
    <s v="teacher55@school.edu"/>
    <n v="22"/>
    <s v="Yes"/>
    <n v="1"/>
    <n v="1"/>
    <n v="57"/>
    <x v="3"/>
  </r>
  <r>
    <s v="T0056"/>
    <x v="21"/>
    <s v="Male"/>
    <n v="55"/>
    <s v="Public School"/>
    <s v="Computer Science"/>
    <x v="2"/>
    <s v="Assessment"/>
    <x v="0"/>
    <d v="2024-07-21T00:00:00"/>
    <d v="2024-08-12T00:00:00"/>
    <x v="2"/>
    <n v="38"/>
    <m/>
    <s v="No"/>
    <n v="42"/>
    <s v="South"/>
    <x v="2"/>
    <s v="teacher56@school.edu"/>
    <n v="10"/>
    <s v="No"/>
    <n v="0"/>
    <n v="1"/>
    <n v="22"/>
    <x v="2"/>
  </r>
  <r>
    <s v="T0057"/>
    <x v="22"/>
    <s v="Female"/>
    <n v="57"/>
    <s v="International School"/>
    <s v="English"/>
    <x v="0"/>
    <s v="Professional Development"/>
    <x v="1"/>
    <d v="2024-05-01T00:00:00"/>
    <d v="2024-05-11T00:00:00"/>
    <x v="2"/>
    <n v="31"/>
    <m/>
    <s v="No"/>
    <n v="52"/>
    <s v="North"/>
    <x v="1"/>
    <s v="teacher57@school.edu"/>
    <n v="6"/>
    <s v="No"/>
    <n v="0"/>
    <n v="1"/>
    <n v="10"/>
    <x v="2"/>
  </r>
  <r>
    <s v="T0058"/>
    <x v="30"/>
    <s v="Male"/>
    <n v="58"/>
    <s v="Govt High School"/>
    <s v="Science"/>
    <x v="4"/>
    <s v="Assessment"/>
    <x v="1"/>
    <d v="2024-10-12T00:00:00"/>
    <d v="2024-10-21T00:00:00"/>
    <x v="0"/>
    <n v="40"/>
    <m/>
    <s v="No"/>
    <n v="38"/>
    <s v="East"/>
    <x v="0"/>
    <s v="teacher58@school.edu"/>
    <n v="34"/>
    <s v="No"/>
    <n v="0"/>
    <n v="1"/>
    <n v="9"/>
    <x v="3"/>
  </r>
  <r>
    <s v="T0059"/>
    <x v="4"/>
    <s v="Male"/>
    <n v="29"/>
    <s v="International School"/>
    <s v="Science"/>
    <x v="1"/>
    <s v="Assessment"/>
    <x v="0"/>
    <d v="2024-10-23T00:00:00"/>
    <d v="2024-12-13T00:00:00"/>
    <x v="0"/>
    <n v="72"/>
    <m/>
    <s v="No"/>
    <n v="59"/>
    <s v="South"/>
    <x v="4"/>
    <s v="teacher59@school.edu"/>
    <n v="5"/>
    <s v="No"/>
    <n v="0"/>
    <n v="1"/>
    <n v="51"/>
    <x v="0"/>
  </r>
  <r>
    <s v="T0060"/>
    <x v="20"/>
    <s v="Female"/>
    <n v="30"/>
    <s v="Govt High School"/>
    <s v="Computer Science"/>
    <x v="1"/>
    <s v="Assessment"/>
    <x v="1"/>
    <d v="2024-02-12T00:00:00"/>
    <d v="2024-03-17T00:00:00"/>
    <x v="0"/>
    <n v="96"/>
    <m/>
    <s v="No"/>
    <n v="21"/>
    <s v="West"/>
    <x v="1"/>
    <s v="teacher60@school.edu"/>
    <n v="3"/>
    <s v="No"/>
    <n v="0"/>
    <n v="1"/>
    <n v="34"/>
    <x v="0"/>
  </r>
  <r>
    <s v="T0061"/>
    <x v="9"/>
    <s v="Male"/>
    <n v="56"/>
    <s v="Govt High School"/>
    <s v="Computer Science"/>
    <x v="0"/>
    <s v="Professional Development"/>
    <x v="1"/>
    <d v="2024-09-14T00:00:00"/>
    <d v="2024-10-31T00:00:00"/>
    <x v="1"/>
    <n v="62"/>
    <n v="83"/>
    <s v="Yes"/>
    <n v="23"/>
    <s v="North"/>
    <x v="2"/>
    <s v="teacher61@school.edu"/>
    <n v="26"/>
    <s v="Yes"/>
    <n v="1"/>
    <n v="1"/>
    <n v="47"/>
    <x v="3"/>
  </r>
  <r>
    <s v="T0062"/>
    <x v="34"/>
    <s v="Female"/>
    <n v="42"/>
    <s v="Public School"/>
    <s v="Social Science"/>
    <x v="2"/>
    <s v="Assessment"/>
    <x v="2"/>
    <d v="2024-07-21T00:00:00"/>
    <d v="2024-09-12T00:00:00"/>
    <x v="0"/>
    <n v="60"/>
    <m/>
    <s v="No"/>
    <n v="12"/>
    <s v="South"/>
    <x v="1"/>
    <s v="teacher62@school.edu"/>
    <n v="10"/>
    <s v="No"/>
    <n v="0"/>
    <n v="1"/>
    <n v="53"/>
    <x v="2"/>
  </r>
  <r>
    <s v="T0063"/>
    <x v="4"/>
    <s v="Male"/>
    <n v="33"/>
    <s v="International School"/>
    <s v="Computer Science"/>
    <x v="1"/>
    <s v="Pedagogy"/>
    <x v="2"/>
    <d v="2024-02-06T00:00:00"/>
    <d v="2024-03-31T00:00:00"/>
    <x v="2"/>
    <n v="36"/>
    <m/>
    <s v="No"/>
    <n v="31"/>
    <s v="West"/>
    <x v="2"/>
    <s v="teacher63@school.edu"/>
    <n v="31"/>
    <s v="No"/>
    <n v="0"/>
    <n v="1"/>
    <n v="54"/>
    <x v="3"/>
  </r>
  <r>
    <s v="T0064"/>
    <x v="34"/>
    <s v="Female"/>
    <n v="50"/>
    <s v="Public School"/>
    <s v="English"/>
    <x v="4"/>
    <s v="Professional Development"/>
    <x v="0"/>
    <d v="2024-05-01T00:00:00"/>
    <d v="2024-06-03T00:00:00"/>
    <x v="2"/>
    <n v="20"/>
    <m/>
    <s v="No"/>
    <n v="54"/>
    <s v="East"/>
    <x v="4"/>
    <s v="teacher64@school.edu"/>
    <n v="15"/>
    <s v="No"/>
    <n v="0"/>
    <n v="1"/>
    <n v="33"/>
    <x v="1"/>
  </r>
  <r>
    <s v="T0065"/>
    <x v="19"/>
    <s v="Male"/>
    <n v="23"/>
    <s v="Central School"/>
    <s v="Computer Science"/>
    <x v="2"/>
    <s v="Professional Development"/>
    <x v="0"/>
    <d v="2024-04-28T00:00:00"/>
    <d v="2024-06-20T00:00:00"/>
    <x v="0"/>
    <n v="96"/>
    <m/>
    <s v="No"/>
    <n v="52"/>
    <s v="North"/>
    <x v="0"/>
    <s v="teacher65@school.edu"/>
    <n v="1"/>
    <s v="No"/>
    <n v="0"/>
    <n v="1"/>
    <n v="53"/>
    <x v="0"/>
  </r>
  <r>
    <s v="T0066"/>
    <x v="20"/>
    <s v="Female"/>
    <n v="26"/>
    <s v="Public School"/>
    <s v="Maths"/>
    <x v="4"/>
    <s v="Assessment"/>
    <x v="2"/>
    <d v="2024-04-13T00:00:00"/>
    <d v="2024-05-15T00:00:00"/>
    <x v="2"/>
    <n v="40"/>
    <m/>
    <s v="No"/>
    <n v="6"/>
    <s v="North"/>
    <x v="2"/>
    <s v="teacher66@school.edu"/>
    <n v="2"/>
    <s v="No"/>
    <n v="0"/>
    <n v="1"/>
    <n v="32"/>
    <x v="0"/>
  </r>
  <r>
    <s v="T0067"/>
    <x v="7"/>
    <s v="Male"/>
    <n v="56"/>
    <s v="Govt High School"/>
    <s v="Social Science"/>
    <x v="3"/>
    <s v="Professional Development"/>
    <x v="2"/>
    <d v="2024-06-22T00:00:00"/>
    <d v="2024-08-04T00:00:00"/>
    <x v="2"/>
    <n v="2"/>
    <m/>
    <s v="No"/>
    <n v="52"/>
    <s v="West"/>
    <x v="4"/>
    <s v="teacher67@school.edu"/>
    <n v="22"/>
    <s v="No"/>
    <n v="0"/>
    <n v="1"/>
    <n v="43"/>
    <x v="3"/>
  </r>
  <r>
    <s v="T0068"/>
    <x v="13"/>
    <s v="Male"/>
    <n v="54"/>
    <s v="Public School"/>
    <s v="Social Science"/>
    <x v="1"/>
    <s v="Technology"/>
    <x v="1"/>
    <d v="2024-03-14T00:00:00"/>
    <d v="2024-03-19T00:00:00"/>
    <x v="0"/>
    <n v="45"/>
    <m/>
    <s v="No"/>
    <n v="54"/>
    <s v="East"/>
    <x v="3"/>
    <s v="teacher68@school.edu"/>
    <n v="7"/>
    <s v="No"/>
    <n v="0"/>
    <n v="1"/>
    <n v="5"/>
    <x v="2"/>
  </r>
  <r>
    <s v="T0069"/>
    <x v="35"/>
    <s v="Male"/>
    <n v="48"/>
    <s v="Central School"/>
    <s v="Computer Science"/>
    <x v="4"/>
    <s v="Technology"/>
    <x v="2"/>
    <d v="2024-06-01T00:00:00"/>
    <d v="2024-06-27T00:00:00"/>
    <x v="0"/>
    <n v="64"/>
    <m/>
    <s v="No"/>
    <n v="47"/>
    <s v="East"/>
    <x v="3"/>
    <s v="teacher69@school.edu"/>
    <n v="33"/>
    <s v="No"/>
    <n v="0"/>
    <n v="1"/>
    <n v="26"/>
    <x v="3"/>
  </r>
  <r>
    <s v="T0070"/>
    <x v="33"/>
    <s v="Female"/>
    <n v="22"/>
    <s v="Public School"/>
    <s v="English"/>
    <x v="3"/>
    <s v="Pedagogy"/>
    <x v="0"/>
    <d v="2024-02-07T00:00:00"/>
    <d v="2024-02-13T00:00:00"/>
    <x v="1"/>
    <n v="89"/>
    <n v="66"/>
    <s v="Yes"/>
    <n v="20"/>
    <s v="South"/>
    <x v="4"/>
    <s v="teacher70@school.edu"/>
    <n v="22"/>
    <s v="Yes"/>
    <n v="1"/>
    <n v="1"/>
    <n v="6"/>
    <x v="3"/>
  </r>
  <r>
    <s v="T0071"/>
    <x v="30"/>
    <s v="Male"/>
    <n v="41"/>
    <s v="International School"/>
    <s v="Computer Science"/>
    <x v="0"/>
    <s v="Assessment"/>
    <x v="0"/>
    <d v="2024-04-27T00:00:00"/>
    <d v="2024-05-28T00:00:00"/>
    <x v="0"/>
    <n v="50"/>
    <m/>
    <s v="No"/>
    <n v="28"/>
    <s v="East"/>
    <x v="0"/>
    <s v="teacher71@school.edu"/>
    <n v="32"/>
    <s v="No"/>
    <n v="0"/>
    <n v="1"/>
    <n v="31"/>
    <x v="3"/>
  </r>
  <r>
    <s v="T0072"/>
    <x v="2"/>
    <s v="Female"/>
    <n v="42"/>
    <s v="International School"/>
    <s v="Social Science"/>
    <x v="3"/>
    <s v="Pedagogy"/>
    <x v="1"/>
    <d v="2024-07-16T00:00:00"/>
    <d v="2024-07-27T00:00:00"/>
    <x v="2"/>
    <n v="2"/>
    <m/>
    <s v="No"/>
    <n v="23"/>
    <s v="West"/>
    <x v="3"/>
    <s v="teacher72@school.edu"/>
    <n v="13"/>
    <s v="No"/>
    <n v="0"/>
    <n v="1"/>
    <n v="11"/>
    <x v="1"/>
  </r>
  <r>
    <s v="T0073"/>
    <x v="36"/>
    <s v="Female"/>
    <n v="57"/>
    <s v="Govt High School"/>
    <s v="English"/>
    <x v="1"/>
    <s v="Pedagogy"/>
    <x v="2"/>
    <d v="2024-06-13T00:00:00"/>
    <d v="2024-07-27T00:00:00"/>
    <x v="0"/>
    <n v="42"/>
    <m/>
    <s v="No"/>
    <n v="13"/>
    <s v="West"/>
    <x v="3"/>
    <s v="teacher73@school.edu"/>
    <n v="16"/>
    <s v="No"/>
    <n v="0"/>
    <n v="1"/>
    <n v="44"/>
    <x v="1"/>
  </r>
  <r>
    <s v="T0074"/>
    <x v="24"/>
    <s v="Female"/>
    <n v="34"/>
    <s v="Public School"/>
    <s v="Science"/>
    <x v="0"/>
    <s v="Pedagogy"/>
    <x v="1"/>
    <d v="2024-05-30T00:00:00"/>
    <d v="2024-07-02T00:00:00"/>
    <x v="2"/>
    <n v="22"/>
    <m/>
    <s v="No"/>
    <n v="28"/>
    <s v="North"/>
    <x v="3"/>
    <s v="teacher74@school.edu"/>
    <n v="5"/>
    <s v="No"/>
    <n v="0"/>
    <n v="1"/>
    <n v="33"/>
    <x v="0"/>
  </r>
  <r>
    <s v="T0075"/>
    <x v="15"/>
    <s v="Male"/>
    <n v="37"/>
    <s v="International School"/>
    <s v="Social Science"/>
    <x v="1"/>
    <s v="Technology"/>
    <x v="0"/>
    <d v="2024-07-07T00:00:00"/>
    <d v="2024-07-14T00:00:00"/>
    <x v="2"/>
    <n v="2"/>
    <m/>
    <s v="No"/>
    <n v="9"/>
    <s v="West"/>
    <x v="0"/>
    <s v="teacher75@school.edu"/>
    <n v="15"/>
    <s v="No"/>
    <n v="0"/>
    <n v="1"/>
    <n v="7"/>
    <x v="1"/>
  </r>
  <r>
    <s v="T0076"/>
    <x v="35"/>
    <s v="Male"/>
    <n v="50"/>
    <s v="Central School"/>
    <s v="Computer Science"/>
    <x v="4"/>
    <s v="Assessment"/>
    <x v="0"/>
    <d v="2024-03-08T00:00:00"/>
    <d v="2024-04-24T00:00:00"/>
    <x v="2"/>
    <n v="26"/>
    <m/>
    <s v="No"/>
    <n v="17"/>
    <s v="North"/>
    <x v="0"/>
    <s v="teacher76@school.edu"/>
    <n v="35"/>
    <s v="No"/>
    <n v="0"/>
    <n v="1"/>
    <n v="47"/>
    <x v="3"/>
  </r>
  <r>
    <s v="T0077"/>
    <x v="25"/>
    <s v="Female"/>
    <n v="32"/>
    <s v="Govt High School"/>
    <s v="Social Science"/>
    <x v="4"/>
    <s v="Technology"/>
    <x v="2"/>
    <d v="2024-05-20T00:00:00"/>
    <d v="2024-07-05T00:00:00"/>
    <x v="1"/>
    <n v="94"/>
    <n v="66"/>
    <s v="Yes"/>
    <n v="8"/>
    <s v="North"/>
    <x v="1"/>
    <s v="teacher77@school.edu"/>
    <n v="6"/>
    <s v="Yes"/>
    <n v="1"/>
    <n v="1"/>
    <n v="46"/>
    <x v="2"/>
  </r>
  <r>
    <s v="T0078"/>
    <x v="31"/>
    <s v="Male"/>
    <n v="25"/>
    <s v="Govt High School"/>
    <s v="Maths"/>
    <x v="1"/>
    <s v="Assessment"/>
    <x v="0"/>
    <d v="2024-07-20T00:00:00"/>
    <d v="2024-08-06T00:00:00"/>
    <x v="0"/>
    <n v="77"/>
    <m/>
    <s v="No"/>
    <n v="30"/>
    <s v="North"/>
    <x v="1"/>
    <s v="teacher78@school.edu"/>
    <n v="7"/>
    <s v="No"/>
    <n v="0"/>
    <n v="1"/>
    <n v="17"/>
    <x v="2"/>
  </r>
  <r>
    <s v="T0079"/>
    <x v="18"/>
    <s v="Female"/>
    <n v="44"/>
    <s v="International School"/>
    <s v="Social Science"/>
    <x v="0"/>
    <s v="Pedagogy"/>
    <x v="0"/>
    <d v="2024-06-17T00:00:00"/>
    <d v="2024-07-10T00:00:00"/>
    <x v="0"/>
    <n v="68"/>
    <m/>
    <s v="No"/>
    <n v="17"/>
    <s v="East"/>
    <x v="3"/>
    <s v="teacher79@school.edu"/>
    <n v="10"/>
    <s v="No"/>
    <n v="0"/>
    <n v="1"/>
    <n v="23"/>
    <x v="2"/>
  </r>
  <r>
    <s v="T0080"/>
    <x v="12"/>
    <s v="Female"/>
    <n v="56"/>
    <s v="Govt High School"/>
    <s v="Science"/>
    <x v="2"/>
    <s v="Professional Development"/>
    <x v="2"/>
    <d v="2024-05-06T00:00:00"/>
    <d v="2024-05-14T00:00:00"/>
    <x v="2"/>
    <n v="12"/>
    <m/>
    <s v="No"/>
    <n v="18"/>
    <s v="South"/>
    <x v="4"/>
    <s v="teacher80@school.edu"/>
    <n v="23"/>
    <s v="No"/>
    <n v="0"/>
    <n v="1"/>
    <n v="8"/>
    <x v="3"/>
  </r>
  <r>
    <s v="T0081"/>
    <x v="31"/>
    <s v="Female"/>
    <n v="23"/>
    <s v="Govt High School"/>
    <s v="Maths"/>
    <x v="4"/>
    <s v="Technology"/>
    <x v="2"/>
    <d v="2024-10-13T00:00:00"/>
    <d v="2024-11-02T00:00:00"/>
    <x v="0"/>
    <n v="63"/>
    <m/>
    <s v="No"/>
    <n v="49"/>
    <s v="West"/>
    <x v="0"/>
    <s v="teacher81@school.edu"/>
    <n v="9"/>
    <s v="No"/>
    <n v="0"/>
    <n v="1"/>
    <n v="20"/>
    <x v="2"/>
  </r>
  <r>
    <s v="T0082"/>
    <x v="29"/>
    <s v="Female"/>
    <n v="24"/>
    <s v="Govt High School"/>
    <s v="Maths"/>
    <x v="4"/>
    <s v="Pedagogy"/>
    <x v="0"/>
    <d v="2024-03-15T00:00:00"/>
    <d v="2024-05-02T00:00:00"/>
    <x v="1"/>
    <n v="52"/>
    <n v="53"/>
    <s v="Yes"/>
    <n v="32"/>
    <s v="West"/>
    <x v="3"/>
    <s v="teacher82@school.edu"/>
    <n v="10"/>
    <s v="Yes"/>
    <n v="1"/>
    <n v="1"/>
    <n v="48"/>
    <x v="2"/>
  </r>
  <r>
    <s v="T0083"/>
    <x v="17"/>
    <s v="Female"/>
    <n v="48"/>
    <s v="International School"/>
    <s v="Social Science"/>
    <x v="4"/>
    <s v="Professional Development"/>
    <x v="1"/>
    <d v="2024-01-26T00:00:00"/>
    <d v="2024-03-09T00:00:00"/>
    <x v="2"/>
    <n v="28"/>
    <m/>
    <s v="No"/>
    <n v="32"/>
    <s v="South"/>
    <x v="1"/>
    <s v="teacher83@school.edu"/>
    <n v="6"/>
    <s v="No"/>
    <n v="0"/>
    <n v="1"/>
    <n v="43"/>
    <x v="2"/>
  </r>
  <r>
    <s v="T0084"/>
    <x v="18"/>
    <s v="Male"/>
    <n v="59"/>
    <s v="Govt High School"/>
    <s v="Science"/>
    <x v="1"/>
    <s v="Technology"/>
    <x v="2"/>
    <d v="2024-07-13T00:00:00"/>
    <d v="2024-08-06T00:00:00"/>
    <x v="0"/>
    <n v="71"/>
    <m/>
    <s v="No"/>
    <n v="31"/>
    <s v="East"/>
    <x v="3"/>
    <s v="teacher84@school.edu"/>
    <n v="28"/>
    <s v="No"/>
    <n v="0"/>
    <n v="1"/>
    <n v="24"/>
    <x v="3"/>
  </r>
  <r>
    <s v="T0085"/>
    <x v="11"/>
    <s v="Male"/>
    <n v="51"/>
    <s v="Public School"/>
    <s v="Computer Science"/>
    <x v="4"/>
    <s v="Pedagogy"/>
    <x v="1"/>
    <d v="2024-04-11T00:00:00"/>
    <d v="2024-05-12T00:00:00"/>
    <x v="0"/>
    <n v="77"/>
    <m/>
    <s v="No"/>
    <n v="10"/>
    <s v="South"/>
    <x v="1"/>
    <s v="teacher85@school.edu"/>
    <n v="21"/>
    <s v="No"/>
    <n v="0"/>
    <n v="1"/>
    <n v="31"/>
    <x v="3"/>
  </r>
  <r>
    <s v="T0086"/>
    <x v="33"/>
    <s v="Female"/>
    <n v="51"/>
    <s v="Central School"/>
    <s v="Science"/>
    <x v="3"/>
    <s v="Technology"/>
    <x v="1"/>
    <d v="2024-07-23T00:00:00"/>
    <d v="2024-09-09T00:00:00"/>
    <x v="2"/>
    <n v="6"/>
    <m/>
    <s v="No"/>
    <n v="33"/>
    <s v="North"/>
    <x v="2"/>
    <s v="teacher86@school.edu"/>
    <n v="27"/>
    <s v="No"/>
    <n v="0"/>
    <n v="1"/>
    <n v="48"/>
    <x v="3"/>
  </r>
  <r>
    <s v="T0087"/>
    <x v="8"/>
    <s v="Female"/>
    <n v="57"/>
    <s v="International School"/>
    <s v="English"/>
    <x v="2"/>
    <s v="Professional Development"/>
    <x v="2"/>
    <d v="2024-07-02T00:00:00"/>
    <d v="2024-08-16T00:00:00"/>
    <x v="2"/>
    <n v="20"/>
    <m/>
    <s v="No"/>
    <n v="40"/>
    <s v="South"/>
    <x v="3"/>
    <s v="teacher87@school.edu"/>
    <n v="30"/>
    <s v="No"/>
    <n v="0"/>
    <n v="1"/>
    <n v="45"/>
    <x v="3"/>
  </r>
  <r>
    <s v="T0088"/>
    <x v="13"/>
    <s v="Female"/>
    <n v="37"/>
    <s v="Govt High School"/>
    <s v="Social Science"/>
    <x v="2"/>
    <s v="Technology"/>
    <x v="1"/>
    <d v="2024-10-15T00:00:00"/>
    <d v="2024-12-11T00:00:00"/>
    <x v="2"/>
    <n v="31"/>
    <m/>
    <s v="No"/>
    <n v="29"/>
    <s v="West"/>
    <x v="1"/>
    <s v="teacher88@school.edu"/>
    <n v="4"/>
    <s v="No"/>
    <n v="0"/>
    <n v="1"/>
    <n v="57"/>
    <x v="0"/>
  </r>
  <r>
    <s v="T0089"/>
    <x v="1"/>
    <s v="Male"/>
    <n v="33"/>
    <s v="Public School"/>
    <s v="Science"/>
    <x v="0"/>
    <s v="Technology"/>
    <x v="1"/>
    <d v="2024-06-09T00:00:00"/>
    <d v="2024-07-28T00:00:00"/>
    <x v="2"/>
    <n v="23"/>
    <m/>
    <s v="No"/>
    <n v="35"/>
    <s v="West"/>
    <x v="1"/>
    <s v="teacher89@school.edu"/>
    <n v="21"/>
    <s v="No"/>
    <n v="0"/>
    <n v="1"/>
    <n v="49"/>
    <x v="3"/>
  </r>
  <r>
    <s v="T0090"/>
    <x v="27"/>
    <s v="Female"/>
    <n v="58"/>
    <s v="Public School"/>
    <s v="English"/>
    <x v="0"/>
    <s v="Professional Development"/>
    <x v="2"/>
    <d v="2024-03-20T00:00:00"/>
    <d v="2024-05-16T00:00:00"/>
    <x v="0"/>
    <n v="94"/>
    <m/>
    <s v="No"/>
    <n v="40"/>
    <s v="South"/>
    <x v="0"/>
    <s v="teacher90@school.edu"/>
    <n v="31"/>
    <s v="No"/>
    <n v="0"/>
    <n v="1"/>
    <n v="57"/>
    <x v="3"/>
  </r>
  <r>
    <s v="T0091"/>
    <x v="34"/>
    <s v="Male"/>
    <n v="31"/>
    <s v="Central School"/>
    <s v="Computer Science"/>
    <x v="4"/>
    <s v="Technology"/>
    <x v="2"/>
    <d v="2024-08-07T00:00:00"/>
    <d v="2024-08-16T00:00:00"/>
    <x v="2"/>
    <n v="2"/>
    <m/>
    <s v="No"/>
    <n v="9"/>
    <s v="South"/>
    <x v="1"/>
    <s v="teacher91@school.edu"/>
    <n v="17"/>
    <s v="No"/>
    <n v="0"/>
    <n v="1"/>
    <n v="9"/>
    <x v="1"/>
  </r>
  <r>
    <s v="T0092"/>
    <x v="15"/>
    <s v="Female"/>
    <n v="34"/>
    <s v="International School"/>
    <s v="Maths"/>
    <x v="3"/>
    <s v="Technology"/>
    <x v="0"/>
    <d v="2024-03-28T00:00:00"/>
    <d v="2024-04-27T00:00:00"/>
    <x v="1"/>
    <n v="53"/>
    <n v="57"/>
    <s v="Yes"/>
    <n v="20"/>
    <s v="South"/>
    <x v="3"/>
    <s v="teacher92@school.edu"/>
    <n v="2"/>
    <s v="Yes"/>
    <n v="1"/>
    <n v="1"/>
    <n v="30"/>
    <x v="0"/>
  </r>
  <r>
    <s v="T0093"/>
    <x v="32"/>
    <s v="Male"/>
    <n v="41"/>
    <s v="Central School"/>
    <s v="Social Science"/>
    <x v="4"/>
    <s v="Pedagogy"/>
    <x v="2"/>
    <d v="2024-04-14T00:00:00"/>
    <d v="2024-05-06T00:00:00"/>
    <x v="2"/>
    <n v="32"/>
    <m/>
    <s v="No"/>
    <n v="37"/>
    <s v="North"/>
    <x v="3"/>
    <s v="teacher93@school.edu"/>
    <n v="30"/>
    <s v="No"/>
    <n v="0"/>
    <n v="1"/>
    <n v="22"/>
    <x v="3"/>
  </r>
  <r>
    <s v="T0094"/>
    <x v="37"/>
    <s v="Male"/>
    <n v="42"/>
    <s v="International School"/>
    <s v="Social Science"/>
    <x v="2"/>
    <s v="Professional Development"/>
    <x v="2"/>
    <d v="2024-01-20T00:00:00"/>
    <d v="2024-02-03T00:00:00"/>
    <x v="1"/>
    <n v="50"/>
    <n v="85"/>
    <s v="Yes"/>
    <n v="19"/>
    <s v="South"/>
    <x v="4"/>
    <s v="teacher94@school.edu"/>
    <n v="18"/>
    <s v="Yes"/>
    <n v="1"/>
    <n v="1"/>
    <n v="14"/>
    <x v="1"/>
  </r>
  <r>
    <s v="T0095"/>
    <x v="15"/>
    <s v="Female"/>
    <n v="58"/>
    <s v="Public School"/>
    <s v="Maths"/>
    <x v="3"/>
    <s v="Technology"/>
    <x v="2"/>
    <d v="2024-08-09T00:00:00"/>
    <d v="2024-08-27T00:00:00"/>
    <x v="0"/>
    <n v="57"/>
    <m/>
    <s v="No"/>
    <n v="8"/>
    <s v="West"/>
    <x v="4"/>
    <s v="teacher95@school.edu"/>
    <n v="25"/>
    <s v="No"/>
    <n v="0"/>
    <n v="1"/>
    <n v="18"/>
    <x v="3"/>
  </r>
  <r>
    <s v="T0096"/>
    <x v="20"/>
    <s v="Male"/>
    <n v="50"/>
    <s v="International School"/>
    <s v="Computer Science"/>
    <x v="0"/>
    <s v="Assessment"/>
    <x v="1"/>
    <d v="2024-06-04T00:00:00"/>
    <d v="2024-07-27T00:00:00"/>
    <x v="2"/>
    <n v="10"/>
    <m/>
    <s v="No"/>
    <n v="37"/>
    <s v="North"/>
    <x v="0"/>
    <s v="teacher96@school.edu"/>
    <n v="10"/>
    <s v="No"/>
    <n v="0"/>
    <n v="1"/>
    <n v="53"/>
    <x v="2"/>
  </r>
  <r>
    <s v="T0097"/>
    <x v="22"/>
    <s v="Male"/>
    <n v="28"/>
    <s v="Govt High School"/>
    <s v="Social Science"/>
    <x v="1"/>
    <s v="Assessment"/>
    <x v="0"/>
    <d v="2024-08-12T00:00:00"/>
    <d v="2024-08-20T00:00:00"/>
    <x v="2"/>
    <n v="16"/>
    <m/>
    <s v="No"/>
    <n v="22"/>
    <s v="South"/>
    <x v="2"/>
    <s v="teacher97@school.edu"/>
    <n v="34"/>
    <s v="No"/>
    <n v="0"/>
    <n v="1"/>
    <n v="8"/>
    <x v="3"/>
  </r>
  <r>
    <s v="T0098"/>
    <x v="10"/>
    <s v="Male"/>
    <n v="43"/>
    <s v="Public School"/>
    <s v="Computer Science"/>
    <x v="4"/>
    <s v="Pedagogy"/>
    <x v="0"/>
    <d v="2024-10-14T00:00:00"/>
    <d v="2024-11-28T00:00:00"/>
    <x v="1"/>
    <n v="97"/>
    <n v="79"/>
    <s v="Yes"/>
    <n v="49"/>
    <s v="West"/>
    <x v="1"/>
    <s v="teacher98@school.edu"/>
    <n v="14"/>
    <s v="Yes"/>
    <n v="1"/>
    <n v="1"/>
    <n v="45"/>
    <x v="1"/>
  </r>
  <r>
    <s v="T0099"/>
    <x v="0"/>
    <s v="Female"/>
    <n v="41"/>
    <s v="International School"/>
    <s v="Maths"/>
    <x v="0"/>
    <s v="Technology"/>
    <x v="0"/>
    <d v="2024-02-17T00:00:00"/>
    <d v="2024-02-26T00:00:00"/>
    <x v="2"/>
    <n v="20"/>
    <m/>
    <s v="No"/>
    <n v="7"/>
    <s v="North"/>
    <x v="3"/>
    <s v="teacher99@school.edu"/>
    <n v="18"/>
    <s v="No"/>
    <n v="0"/>
    <n v="1"/>
    <n v="9"/>
    <x v="1"/>
  </r>
  <r>
    <s v="T0100"/>
    <x v="0"/>
    <s v="Male"/>
    <n v="40"/>
    <s v="Public School"/>
    <s v="Computer Science"/>
    <x v="3"/>
    <s v="Pedagogy"/>
    <x v="1"/>
    <d v="2024-04-23T00:00:00"/>
    <d v="2024-06-02T00:00:00"/>
    <x v="2"/>
    <n v="2"/>
    <m/>
    <s v="No"/>
    <n v="30"/>
    <s v="South"/>
    <x v="1"/>
    <s v="teacher100@school.edu"/>
    <n v="32"/>
    <s v="No"/>
    <n v="0"/>
    <n v="1"/>
    <n v="40"/>
    <x v="3"/>
  </r>
  <r>
    <s v="T0101"/>
    <x v="36"/>
    <s v="Female"/>
    <n v="56"/>
    <s v="Central School"/>
    <s v="Science"/>
    <x v="2"/>
    <s v="Professional Development"/>
    <x v="2"/>
    <d v="2024-05-30T00:00:00"/>
    <d v="2024-07-19T00:00:00"/>
    <x v="0"/>
    <n v="89"/>
    <m/>
    <s v="No"/>
    <n v="52"/>
    <s v="West"/>
    <x v="3"/>
    <s v="teacher101@school.edu"/>
    <n v="29"/>
    <s v="No"/>
    <n v="0"/>
    <n v="1"/>
    <n v="50"/>
    <x v="3"/>
  </r>
  <r>
    <s v="T0102"/>
    <x v="25"/>
    <s v="Female"/>
    <n v="54"/>
    <s v="Central School"/>
    <s v="Science"/>
    <x v="0"/>
    <s v="Assessment"/>
    <x v="2"/>
    <d v="2024-04-01T00:00:00"/>
    <d v="2024-05-13T00:00:00"/>
    <x v="1"/>
    <n v="96"/>
    <n v="57"/>
    <s v="Yes"/>
    <n v="13"/>
    <s v="South"/>
    <x v="1"/>
    <s v="teacher102@school.edu"/>
    <n v="3"/>
    <s v="Yes"/>
    <n v="1"/>
    <n v="1"/>
    <n v="42"/>
    <x v="0"/>
  </r>
  <r>
    <s v="T0103"/>
    <x v="17"/>
    <s v="Female"/>
    <n v="56"/>
    <s v="Central School"/>
    <s v="Science"/>
    <x v="1"/>
    <s v="Assessment"/>
    <x v="2"/>
    <d v="2024-08-11T00:00:00"/>
    <d v="2024-09-22T00:00:00"/>
    <x v="2"/>
    <n v="22"/>
    <m/>
    <s v="No"/>
    <n v="40"/>
    <s v="West"/>
    <x v="0"/>
    <s v="teacher103@school.edu"/>
    <n v="8"/>
    <s v="No"/>
    <n v="0"/>
    <n v="1"/>
    <n v="42"/>
    <x v="2"/>
  </r>
  <r>
    <s v="T0104"/>
    <x v="16"/>
    <s v="Male"/>
    <n v="24"/>
    <s v="Govt High School"/>
    <s v="English"/>
    <x v="4"/>
    <s v="Pedagogy"/>
    <x v="2"/>
    <d v="2024-01-15T00:00:00"/>
    <d v="2024-01-23T00:00:00"/>
    <x v="2"/>
    <n v="15"/>
    <m/>
    <s v="No"/>
    <n v="30"/>
    <s v="East"/>
    <x v="0"/>
    <s v="teacher104@school.edu"/>
    <n v="30"/>
    <s v="No"/>
    <n v="0"/>
    <n v="1"/>
    <n v="8"/>
    <x v="3"/>
  </r>
  <r>
    <s v="T0105"/>
    <x v="1"/>
    <s v="Female"/>
    <n v="26"/>
    <s v="Central School"/>
    <s v="Maths"/>
    <x v="4"/>
    <s v="Assessment"/>
    <x v="0"/>
    <d v="2024-08-08T00:00:00"/>
    <d v="2024-10-03T00:00:00"/>
    <x v="2"/>
    <n v="9"/>
    <m/>
    <s v="No"/>
    <n v="55"/>
    <s v="South"/>
    <x v="4"/>
    <s v="teacher105@school.edu"/>
    <n v="20"/>
    <s v="No"/>
    <n v="0"/>
    <n v="1"/>
    <n v="56"/>
    <x v="1"/>
  </r>
  <r>
    <s v="T0106"/>
    <x v="27"/>
    <s v="Female"/>
    <n v="23"/>
    <s v="Central School"/>
    <s v="English"/>
    <x v="1"/>
    <s v="Pedagogy"/>
    <x v="2"/>
    <d v="2024-10-12T00:00:00"/>
    <d v="2024-12-05T00:00:00"/>
    <x v="0"/>
    <n v="75"/>
    <m/>
    <s v="No"/>
    <n v="8"/>
    <s v="South"/>
    <x v="3"/>
    <s v="teacher106@school.edu"/>
    <n v="15"/>
    <s v="No"/>
    <n v="0"/>
    <n v="1"/>
    <n v="54"/>
    <x v="1"/>
  </r>
  <r>
    <s v="T0107"/>
    <x v="38"/>
    <s v="Male"/>
    <n v="24"/>
    <s v="International School"/>
    <s v="Social Science"/>
    <x v="2"/>
    <s v="Technology"/>
    <x v="2"/>
    <d v="2024-06-13T00:00:00"/>
    <d v="2024-08-02T00:00:00"/>
    <x v="0"/>
    <n v="89"/>
    <m/>
    <s v="No"/>
    <n v="31"/>
    <s v="East"/>
    <x v="2"/>
    <s v="teacher107@school.edu"/>
    <n v="1"/>
    <s v="No"/>
    <n v="0"/>
    <n v="1"/>
    <n v="50"/>
    <x v="0"/>
  </r>
  <r>
    <s v="T0108"/>
    <x v="34"/>
    <s v="Female"/>
    <n v="22"/>
    <s v="Central School"/>
    <s v="Science"/>
    <x v="2"/>
    <s v="Professional Development"/>
    <x v="1"/>
    <d v="2024-10-16T00:00:00"/>
    <d v="2024-11-04T00:00:00"/>
    <x v="1"/>
    <n v="44"/>
    <n v="87"/>
    <s v="Yes"/>
    <n v="21"/>
    <s v="South"/>
    <x v="3"/>
    <s v="teacher108@school.edu"/>
    <n v="22"/>
    <s v="Yes"/>
    <n v="1"/>
    <n v="1"/>
    <n v="19"/>
    <x v="3"/>
  </r>
  <r>
    <s v="T0109"/>
    <x v="13"/>
    <s v="Male"/>
    <n v="33"/>
    <s v="International School"/>
    <s v="Science"/>
    <x v="2"/>
    <s v="Pedagogy"/>
    <x v="2"/>
    <d v="2024-06-08T00:00:00"/>
    <d v="2024-07-09T00:00:00"/>
    <x v="0"/>
    <n v="72"/>
    <m/>
    <s v="No"/>
    <n v="38"/>
    <s v="South"/>
    <x v="1"/>
    <s v="teacher109@school.edu"/>
    <n v="14"/>
    <s v="No"/>
    <n v="0"/>
    <n v="1"/>
    <n v="31"/>
    <x v="1"/>
  </r>
  <r>
    <s v="T0110"/>
    <x v="36"/>
    <s v="Female"/>
    <n v="32"/>
    <s v="Govt High School"/>
    <s v="Science"/>
    <x v="4"/>
    <s v="Technology"/>
    <x v="0"/>
    <d v="2024-09-29T00:00:00"/>
    <d v="2024-11-01T00:00:00"/>
    <x v="2"/>
    <n v="36"/>
    <m/>
    <s v="No"/>
    <n v="21"/>
    <s v="South"/>
    <x v="2"/>
    <s v="teacher110@school.edu"/>
    <n v="18"/>
    <s v="No"/>
    <n v="0"/>
    <n v="1"/>
    <n v="33"/>
    <x v="1"/>
  </r>
  <r>
    <s v="T0111"/>
    <x v="24"/>
    <s v="Male"/>
    <n v="48"/>
    <s v="International School"/>
    <s v="Science"/>
    <x v="2"/>
    <s v="Pedagogy"/>
    <x v="1"/>
    <d v="2024-10-16T00:00:00"/>
    <d v="2024-11-09T00:00:00"/>
    <x v="0"/>
    <n v="98"/>
    <m/>
    <s v="No"/>
    <n v="10"/>
    <s v="North"/>
    <x v="1"/>
    <s v="teacher111@school.edu"/>
    <n v="6"/>
    <s v="No"/>
    <n v="0"/>
    <n v="1"/>
    <n v="24"/>
    <x v="2"/>
  </r>
  <r>
    <s v="T0112"/>
    <x v="20"/>
    <s v="Female"/>
    <n v="33"/>
    <s v="Central School"/>
    <s v="Maths"/>
    <x v="3"/>
    <s v="Professional Development"/>
    <x v="0"/>
    <d v="2024-06-19T00:00:00"/>
    <d v="2024-06-28T00:00:00"/>
    <x v="2"/>
    <n v="15"/>
    <m/>
    <s v="No"/>
    <n v="30"/>
    <s v="East"/>
    <x v="3"/>
    <s v="teacher112@school.edu"/>
    <n v="5"/>
    <s v="No"/>
    <n v="0"/>
    <n v="1"/>
    <n v="9"/>
    <x v="0"/>
  </r>
  <r>
    <s v="T0113"/>
    <x v="15"/>
    <s v="Female"/>
    <n v="35"/>
    <s v="Public School"/>
    <s v="Computer Science"/>
    <x v="1"/>
    <s v="Assessment"/>
    <x v="0"/>
    <d v="2024-03-04T00:00:00"/>
    <d v="2024-04-18T00:00:00"/>
    <x v="1"/>
    <n v="59"/>
    <n v="93"/>
    <s v="Yes"/>
    <n v="17"/>
    <s v="North"/>
    <x v="3"/>
    <s v="teacher113@school.edu"/>
    <n v="32"/>
    <s v="Yes"/>
    <n v="1"/>
    <n v="1"/>
    <n v="45"/>
    <x v="3"/>
  </r>
  <r>
    <s v="T0114"/>
    <x v="25"/>
    <s v="Male"/>
    <n v="36"/>
    <s v="International School"/>
    <s v="Maths"/>
    <x v="3"/>
    <s v="Technology"/>
    <x v="1"/>
    <d v="2024-05-14T00:00:00"/>
    <d v="2024-05-19T00:00:00"/>
    <x v="1"/>
    <n v="65"/>
    <n v="82"/>
    <s v="Yes"/>
    <n v="44"/>
    <s v="North"/>
    <x v="0"/>
    <s v="teacher114@school.edu"/>
    <n v="14"/>
    <s v="Yes"/>
    <n v="1"/>
    <n v="1"/>
    <n v="5"/>
    <x v="1"/>
  </r>
  <r>
    <s v="T0115"/>
    <x v="38"/>
    <s v="Female"/>
    <n v="45"/>
    <s v="Govt High School"/>
    <s v="English"/>
    <x v="1"/>
    <s v="Professional Development"/>
    <x v="0"/>
    <d v="2024-08-11T00:00:00"/>
    <d v="2024-09-14T00:00:00"/>
    <x v="1"/>
    <n v="100"/>
    <n v="88"/>
    <s v="Yes"/>
    <n v="33"/>
    <s v="East"/>
    <x v="0"/>
    <s v="teacher115@school.edu"/>
    <n v="6"/>
    <s v="Yes"/>
    <n v="1"/>
    <n v="1"/>
    <n v="34"/>
    <x v="2"/>
  </r>
  <r>
    <s v="T0116"/>
    <x v="32"/>
    <s v="Female"/>
    <n v="23"/>
    <s v="International School"/>
    <s v="Social Science"/>
    <x v="4"/>
    <s v="Professional Development"/>
    <x v="2"/>
    <d v="2024-06-11T00:00:00"/>
    <d v="2024-07-27T00:00:00"/>
    <x v="2"/>
    <n v="15"/>
    <m/>
    <s v="No"/>
    <n v="7"/>
    <s v="West"/>
    <x v="4"/>
    <s v="teacher116@school.edu"/>
    <n v="24"/>
    <s v="No"/>
    <n v="0"/>
    <n v="1"/>
    <n v="46"/>
    <x v="3"/>
  </r>
  <r>
    <s v="T0117"/>
    <x v="4"/>
    <s v="Female"/>
    <n v="42"/>
    <s v="Public School"/>
    <s v="Maths"/>
    <x v="4"/>
    <s v="Professional Development"/>
    <x v="2"/>
    <d v="2024-05-26T00:00:00"/>
    <d v="2024-06-27T00:00:00"/>
    <x v="1"/>
    <n v="57"/>
    <n v="82"/>
    <s v="Yes"/>
    <n v="38"/>
    <s v="North"/>
    <x v="1"/>
    <s v="teacher117@school.edu"/>
    <n v="26"/>
    <s v="Yes"/>
    <n v="1"/>
    <n v="1"/>
    <n v="32"/>
    <x v="3"/>
  </r>
  <r>
    <s v="T0118"/>
    <x v="6"/>
    <s v="Male"/>
    <n v="52"/>
    <s v="International School"/>
    <s v="Computer Science"/>
    <x v="2"/>
    <s v="Professional Development"/>
    <x v="1"/>
    <d v="2024-03-27T00:00:00"/>
    <d v="2024-04-22T00:00:00"/>
    <x v="2"/>
    <n v="23"/>
    <m/>
    <s v="No"/>
    <n v="28"/>
    <s v="South"/>
    <x v="1"/>
    <s v="teacher118@school.edu"/>
    <n v="35"/>
    <s v="No"/>
    <n v="0"/>
    <n v="1"/>
    <n v="26"/>
    <x v="3"/>
  </r>
  <r>
    <s v="T0119"/>
    <x v="30"/>
    <s v="Female"/>
    <n v="59"/>
    <s v="Govt High School"/>
    <s v="Computer Science"/>
    <x v="0"/>
    <s v="Assessment"/>
    <x v="0"/>
    <d v="2024-10-10T00:00:00"/>
    <d v="2024-10-21T00:00:00"/>
    <x v="2"/>
    <n v="22"/>
    <m/>
    <s v="No"/>
    <n v="25"/>
    <s v="South"/>
    <x v="2"/>
    <s v="teacher119@school.edu"/>
    <n v="1"/>
    <s v="No"/>
    <n v="0"/>
    <n v="1"/>
    <n v="11"/>
    <x v="0"/>
  </r>
  <r>
    <s v="T0120"/>
    <x v="2"/>
    <s v="Male"/>
    <n v="60"/>
    <s v="Public School"/>
    <s v="Maths"/>
    <x v="3"/>
    <s v="Assessment"/>
    <x v="1"/>
    <d v="2024-03-22T00:00:00"/>
    <d v="2024-04-22T00:00:00"/>
    <x v="1"/>
    <n v="74"/>
    <n v="85"/>
    <s v="Yes"/>
    <n v="58"/>
    <s v="East"/>
    <x v="2"/>
    <s v="teacher120@school.edu"/>
    <n v="22"/>
    <s v="Yes"/>
    <n v="1"/>
    <n v="1"/>
    <n v="31"/>
    <x v="3"/>
  </r>
  <r>
    <s v="T0121"/>
    <x v="0"/>
    <s v="Male"/>
    <n v="48"/>
    <s v="International School"/>
    <s v="Social Science"/>
    <x v="0"/>
    <s v="Technology"/>
    <x v="1"/>
    <d v="2024-07-07T00:00:00"/>
    <d v="2024-08-14T00:00:00"/>
    <x v="2"/>
    <n v="29"/>
    <m/>
    <s v="No"/>
    <n v="53"/>
    <s v="South"/>
    <x v="4"/>
    <s v="teacher121@school.edu"/>
    <n v="8"/>
    <s v="No"/>
    <n v="0"/>
    <n v="1"/>
    <n v="38"/>
    <x v="2"/>
  </r>
  <r>
    <s v="T0122"/>
    <x v="35"/>
    <s v="Female"/>
    <n v="30"/>
    <s v="Public School"/>
    <s v="Maths"/>
    <x v="0"/>
    <s v="Pedagogy"/>
    <x v="1"/>
    <d v="2024-01-25T00:00:00"/>
    <d v="2024-02-22T00:00:00"/>
    <x v="0"/>
    <n v="62"/>
    <m/>
    <s v="No"/>
    <n v="32"/>
    <s v="East"/>
    <x v="0"/>
    <s v="teacher122@school.edu"/>
    <n v="25"/>
    <s v="No"/>
    <n v="0"/>
    <n v="1"/>
    <n v="28"/>
    <x v="3"/>
  </r>
  <r>
    <s v="T0123"/>
    <x v="5"/>
    <s v="Male"/>
    <n v="50"/>
    <s v="International School"/>
    <s v="Maths"/>
    <x v="4"/>
    <s v="Pedagogy"/>
    <x v="1"/>
    <d v="2024-01-26T00:00:00"/>
    <d v="2024-03-22T00:00:00"/>
    <x v="0"/>
    <n v="66"/>
    <m/>
    <s v="No"/>
    <n v="28"/>
    <s v="East"/>
    <x v="0"/>
    <s v="teacher123@school.edu"/>
    <n v="14"/>
    <s v="No"/>
    <n v="0"/>
    <n v="1"/>
    <n v="56"/>
    <x v="1"/>
  </r>
  <r>
    <s v="T0124"/>
    <x v="22"/>
    <s v="Male"/>
    <n v="36"/>
    <s v="International School"/>
    <s v="Science"/>
    <x v="4"/>
    <s v="Professional Development"/>
    <x v="1"/>
    <d v="2024-06-12T00:00:00"/>
    <d v="2024-08-06T00:00:00"/>
    <x v="1"/>
    <n v="67"/>
    <n v="50"/>
    <s v="Yes"/>
    <n v="27"/>
    <s v="East"/>
    <x v="4"/>
    <s v="teacher124@school.edu"/>
    <n v="5"/>
    <s v="Yes"/>
    <n v="1"/>
    <n v="1"/>
    <n v="55"/>
    <x v="0"/>
  </r>
  <r>
    <s v="T0125"/>
    <x v="31"/>
    <s v="Female"/>
    <n v="53"/>
    <s v="Public School"/>
    <s v="Science"/>
    <x v="4"/>
    <s v="Assessment"/>
    <x v="0"/>
    <d v="2024-03-14T00:00:00"/>
    <d v="2024-04-18T00:00:00"/>
    <x v="2"/>
    <n v="3"/>
    <m/>
    <s v="No"/>
    <n v="40"/>
    <s v="West"/>
    <x v="1"/>
    <s v="teacher125@school.edu"/>
    <n v="30"/>
    <s v="No"/>
    <n v="0"/>
    <n v="1"/>
    <n v="35"/>
    <x v="3"/>
  </r>
  <r>
    <s v="T0126"/>
    <x v="5"/>
    <s v="Female"/>
    <n v="27"/>
    <s v="International School"/>
    <s v="English"/>
    <x v="1"/>
    <s v="Technology"/>
    <x v="1"/>
    <d v="2024-08-12T00:00:00"/>
    <d v="2024-09-13T00:00:00"/>
    <x v="1"/>
    <n v="71"/>
    <n v="71"/>
    <s v="Yes"/>
    <n v="58"/>
    <s v="East"/>
    <x v="2"/>
    <s v="teacher126@school.edu"/>
    <n v="3"/>
    <s v="Yes"/>
    <n v="1"/>
    <n v="1"/>
    <n v="32"/>
    <x v="0"/>
  </r>
  <r>
    <s v="T0127"/>
    <x v="19"/>
    <s v="Male"/>
    <n v="25"/>
    <s v="Govt High School"/>
    <s v="Maths"/>
    <x v="0"/>
    <s v="Pedagogy"/>
    <x v="1"/>
    <d v="2024-02-03T00:00:00"/>
    <d v="2024-02-20T00:00:00"/>
    <x v="2"/>
    <n v="15"/>
    <m/>
    <s v="No"/>
    <n v="42"/>
    <s v="West"/>
    <x v="3"/>
    <s v="teacher127@school.edu"/>
    <n v="18"/>
    <s v="No"/>
    <n v="0"/>
    <n v="1"/>
    <n v="17"/>
    <x v="1"/>
  </r>
  <r>
    <s v="T0128"/>
    <x v="16"/>
    <s v="Male"/>
    <n v="23"/>
    <s v="International School"/>
    <s v="Science"/>
    <x v="2"/>
    <s v="Professional Development"/>
    <x v="1"/>
    <d v="2024-09-15T00:00:00"/>
    <d v="2024-11-09T00:00:00"/>
    <x v="1"/>
    <n v="99"/>
    <n v="78"/>
    <s v="Yes"/>
    <n v="16"/>
    <s v="North"/>
    <x v="0"/>
    <s v="teacher128@school.edu"/>
    <n v="16"/>
    <s v="Yes"/>
    <n v="1"/>
    <n v="1"/>
    <n v="55"/>
    <x v="1"/>
  </r>
  <r>
    <s v="T0129"/>
    <x v="8"/>
    <s v="Female"/>
    <n v="41"/>
    <s v="Govt High School"/>
    <s v="Social Science"/>
    <x v="4"/>
    <s v="Pedagogy"/>
    <x v="1"/>
    <d v="2024-01-21T00:00:00"/>
    <d v="2024-02-12T00:00:00"/>
    <x v="0"/>
    <n v="48"/>
    <m/>
    <s v="No"/>
    <n v="14"/>
    <s v="West"/>
    <x v="4"/>
    <s v="teacher129@school.edu"/>
    <n v="26"/>
    <s v="No"/>
    <n v="0"/>
    <n v="1"/>
    <n v="22"/>
    <x v="3"/>
  </r>
  <r>
    <s v="T0130"/>
    <x v="9"/>
    <s v="Male"/>
    <n v="38"/>
    <s v="Public School"/>
    <s v="English"/>
    <x v="1"/>
    <s v="Assessment"/>
    <x v="0"/>
    <d v="2024-06-17T00:00:00"/>
    <d v="2024-07-21T00:00:00"/>
    <x v="1"/>
    <n v="83"/>
    <n v="78"/>
    <s v="Yes"/>
    <n v="30"/>
    <s v="East"/>
    <x v="2"/>
    <s v="teacher130@school.edu"/>
    <n v="4"/>
    <s v="Yes"/>
    <n v="1"/>
    <n v="1"/>
    <n v="34"/>
    <x v="0"/>
  </r>
  <r>
    <s v="T0131"/>
    <x v="9"/>
    <s v="Male"/>
    <n v="52"/>
    <s v="Central School"/>
    <s v="Social Science"/>
    <x v="0"/>
    <s v="Professional Development"/>
    <x v="1"/>
    <d v="2024-02-28T00:00:00"/>
    <d v="2024-03-22T00:00:00"/>
    <x v="0"/>
    <n v="53"/>
    <m/>
    <s v="No"/>
    <n v="44"/>
    <s v="North"/>
    <x v="4"/>
    <s v="teacher131@school.edu"/>
    <n v="35"/>
    <s v="No"/>
    <n v="0"/>
    <n v="1"/>
    <n v="23"/>
    <x v="3"/>
  </r>
  <r>
    <s v="T0132"/>
    <x v="28"/>
    <s v="Female"/>
    <n v="51"/>
    <s v="Public School"/>
    <s v="English"/>
    <x v="3"/>
    <s v="Professional Development"/>
    <x v="0"/>
    <d v="2024-02-20T00:00:00"/>
    <d v="2024-04-10T00:00:00"/>
    <x v="0"/>
    <n v="58"/>
    <m/>
    <s v="No"/>
    <n v="25"/>
    <s v="East"/>
    <x v="0"/>
    <s v="teacher132@school.edu"/>
    <n v="24"/>
    <s v="No"/>
    <n v="0"/>
    <n v="1"/>
    <n v="50"/>
    <x v="3"/>
  </r>
  <r>
    <s v="T0133"/>
    <x v="9"/>
    <s v="Male"/>
    <n v="23"/>
    <s v="International School"/>
    <s v="Maths"/>
    <x v="1"/>
    <s v="Professional Development"/>
    <x v="2"/>
    <d v="2024-10-08T00:00:00"/>
    <d v="2024-11-10T00:00:00"/>
    <x v="1"/>
    <n v="48"/>
    <n v="99"/>
    <s v="Yes"/>
    <n v="22"/>
    <s v="East"/>
    <x v="4"/>
    <s v="teacher133@school.edu"/>
    <n v="2"/>
    <s v="Yes"/>
    <n v="1"/>
    <n v="1"/>
    <n v="33"/>
    <x v="0"/>
  </r>
  <r>
    <s v="T0134"/>
    <x v="16"/>
    <s v="Male"/>
    <n v="30"/>
    <s v="Central School"/>
    <s v="English"/>
    <x v="3"/>
    <s v="Technology"/>
    <x v="2"/>
    <d v="2024-04-07T00:00:00"/>
    <d v="2024-04-20T00:00:00"/>
    <x v="0"/>
    <n v="97"/>
    <m/>
    <s v="No"/>
    <n v="58"/>
    <s v="West"/>
    <x v="1"/>
    <s v="teacher134@school.edu"/>
    <n v="6"/>
    <s v="No"/>
    <n v="0"/>
    <n v="1"/>
    <n v="13"/>
    <x v="2"/>
  </r>
  <r>
    <s v="T0135"/>
    <x v="35"/>
    <s v="Female"/>
    <n v="45"/>
    <s v="Govt High School"/>
    <s v="Maths"/>
    <x v="3"/>
    <s v="Professional Development"/>
    <x v="0"/>
    <d v="2024-10-12T00:00:00"/>
    <d v="2024-11-18T00:00:00"/>
    <x v="1"/>
    <n v="83"/>
    <n v="61"/>
    <s v="Yes"/>
    <n v="32"/>
    <s v="East"/>
    <x v="1"/>
    <s v="teacher135@school.edu"/>
    <n v="26"/>
    <s v="Yes"/>
    <n v="1"/>
    <n v="1"/>
    <n v="37"/>
    <x v="3"/>
  </r>
  <r>
    <s v="T0136"/>
    <x v="14"/>
    <s v="Female"/>
    <n v="47"/>
    <s v="Central School"/>
    <s v="English"/>
    <x v="3"/>
    <s v="Assessment"/>
    <x v="2"/>
    <d v="2024-08-02T00:00:00"/>
    <d v="2024-09-20T00:00:00"/>
    <x v="2"/>
    <n v="38"/>
    <m/>
    <s v="No"/>
    <n v="13"/>
    <s v="North"/>
    <x v="3"/>
    <s v="teacher136@school.edu"/>
    <n v="8"/>
    <s v="No"/>
    <n v="0"/>
    <n v="1"/>
    <n v="49"/>
    <x v="2"/>
  </r>
  <r>
    <s v="T0137"/>
    <x v="23"/>
    <s v="Female"/>
    <n v="27"/>
    <s v="Public School"/>
    <s v="Science"/>
    <x v="2"/>
    <s v="Professional Development"/>
    <x v="2"/>
    <d v="2024-09-22T00:00:00"/>
    <d v="2024-10-27T00:00:00"/>
    <x v="2"/>
    <n v="29"/>
    <m/>
    <s v="No"/>
    <n v="47"/>
    <s v="South"/>
    <x v="1"/>
    <s v="teacher137@school.edu"/>
    <n v="26"/>
    <s v="No"/>
    <n v="0"/>
    <n v="1"/>
    <n v="35"/>
    <x v="3"/>
  </r>
  <r>
    <s v="T0138"/>
    <x v="31"/>
    <s v="Male"/>
    <n v="31"/>
    <s v="Central School"/>
    <s v="Computer Science"/>
    <x v="4"/>
    <s v="Pedagogy"/>
    <x v="1"/>
    <d v="2024-01-27T00:00:00"/>
    <d v="2024-03-05T00:00:00"/>
    <x v="0"/>
    <n v="40"/>
    <m/>
    <s v="No"/>
    <n v="25"/>
    <s v="East"/>
    <x v="3"/>
    <s v="teacher138@school.edu"/>
    <n v="18"/>
    <s v="No"/>
    <n v="0"/>
    <n v="1"/>
    <n v="38"/>
    <x v="1"/>
  </r>
  <r>
    <s v="T0139"/>
    <x v="38"/>
    <s v="Female"/>
    <n v="29"/>
    <s v="Public School"/>
    <s v="Social Science"/>
    <x v="1"/>
    <s v="Assessment"/>
    <x v="2"/>
    <d v="2024-07-19T00:00:00"/>
    <d v="2024-07-30T00:00:00"/>
    <x v="0"/>
    <n v="45"/>
    <m/>
    <s v="No"/>
    <n v="46"/>
    <s v="East"/>
    <x v="2"/>
    <s v="teacher139@school.edu"/>
    <n v="9"/>
    <s v="No"/>
    <n v="0"/>
    <n v="1"/>
    <n v="11"/>
    <x v="2"/>
  </r>
  <r>
    <s v="T0140"/>
    <x v="1"/>
    <s v="Male"/>
    <n v="50"/>
    <s v="International School"/>
    <s v="Maths"/>
    <x v="1"/>
    <s v="Professional Development"/>
    <x v="2"/>
    <d v="2024-10-13T00:00:00"/>
    <d v="2024-11-28T00:00:00"/>
    <x v="0"/>
    <n v="83"/>
    <m/>
    <s v="No"/>
    <n v="45"/>
    <s v="North"/>
    <x v="1"/>
    <s v="teacher140@school.edu"/>
    <n v="2"/>
    <s v="No"/>
    <n v="0"/>
    <n v="1"/>
    <n v="46"/>
    <x v="0"/>
  </r>
  <r>
    <s v="T0141"/>
    <x v="17"/>
    <s v="Female"/>
    <n v="30"/>
    <s v="Central School"/>
    <s v="Computer Science"/>
    <x v="3"/>
    <s v="Technology"/>
    <x v="0"/>
    <d v="2024-01-05T00:00:00"/>
    <d v="2024-02-18T00:00:00"/>
    <x v="0"/>
    <n v="100"/>
    <m/>
    <s v="No"/>
    <n v="20"/>
    <s v="South"/>
    <x v="0"/>
    <s v="teacher141@school.edu"/>
    <n v="25"/>
    <s v="No"/>
    <n v="0"/>
    <n v="1"/>
    <n v="44"/>
    <x v="3"/>
  </r>
  <r>
    <s v="T0142"/>
    <x v="2"/>
    <s v="Female"/>
    <n v="48"/>
    <s v="Govt High School"/>
    <s v="Computer Science"/>
    <x v="3"/>
    <s v="Technology"/>
    <x v="1"/>
    <d v="2024-10-05T00:00:00"/>
    <d v="2024-11-05T00:00:00"/>
    <x v="0"/>
    <n v="54"/>
    <m/>
    <s v="No"/>
    <n v="23"/>
    <s v="South"/>
    <x v="3"/>
    <s v="teacher142@school.edu"/>
    <n v="16"/>
    <s v="No"/>
    <n v="0"/>
    <n v="1"/>
    <n v="31"/>
    <x v="1"/>
  </r>
  <r>
    <s v="T0143"/>
    <x v="17"/>
    <s v="Male"/>
    <n v="31"/>
    <s v="International School"/>
    <s v="Maths"/>
    <x v="0"/>
    <s v="Technology"/>
    <x v="1"/>
    <d v="2024-03-22T00:00:00"/>
    <d v="2024-05-07T00:00:00"/>
    <x v="1"/>
    <n v="95"/>
    <n v="76"/>
    <s v="Yes"/>
    <n v="53"/>
    <s v="South"/>
    <x v="1"/>
    <s v="teacher143@school.edu"/>
    <n v="1"/>
    <s v="Yes"/>
    <n v="1"/>
    <n v="1"/>
    <n v="46"/>
    <x v="0"/>
  </r>
  <r>
    <s v="T0144"/>
    <x v="4"/>
    <s v="Male"/>
    <n v="56"/>
    <s v="International School"/>
    <s v="Maths"/>
    <x v="0"/>
    <s v="Assessment"/>
    <x v="1"/>
    <d v="2024-08-28T00:00:00"/>
    <d v="2024-10-26T00:00:00"/>
    <x v="0"/>
    <n v="93"/>
    <m/>
    <s v="No"/>
    <n v="49"/>
    <s v="East"/>
    <x v="2"/>
    <s v="teacher144@school.edu"/>
    <n v="28"/>
    <s v="No"/>
    <n v="0"/>
    <n v="1"/>
    <n v="59"/>
    <x v="3"/>
  </r>
  <r>
    <s v="T0145"/>
    <x v="29"/>
    <s v="Male"/>
    <n v="56"/>
    <s v="Central School"/>
    <s v="English"/>
    <x v="3"/>
    <s v="Technology"/>
    <x v="2"/>
    <d v="2024-08-09T00:00:00"/>
    <d v="2024-09-19T00:00:00"/>
    <x v="1"/>
    <n v="46"/>
    <n v="64"/>
    <s v="Yes"/>
    <n v="57"/>
    <s v="West"/>
    <x v="3"/>
    <s v="teacher145@school.edu"/>
    <n v="15"/>
    <s v="Yes"/>
    <n v="1"/>
    <n v="1"/>
    <n v="41"/>
    <x v="1"/>
  </r>
  <r>
    <s v="T0146"/>
    <x v="18"/>
    <s v="Female"/>
    <n v="26"/>
    <s v="International School"/>
    <s v="Computer Science"/>
    <x v="0"/>
    <s v="Assessment"/>
    <x v="2"/>
    <d v="2024-08-12T00:00:00"/>
    <d v="2024-09-22T00:00:00"/>
    <x v="2"/>
    <n v="2"/>
    <m/>
    <s v="No"/>
    <n v="18"/>
    <s v="East"/>
    <x v="2"/>
    <s v="teacher146@school.edu"/>
    <n v="9"/>
    <s v="No"/>
    <n v="0"/>
    <n v="1"/>
    <n v="41"/>
    <x v="2"/>
  </r>
  <r>
    <s v="T0147"/>
    <x v="31"/>
    <s v="Female"/>
    <n v="48"/>
    <s v="International School"/>
    <s v="Computer Science"/>
    <x v="4"/>
    <s v="Assessment"/>
    <x v="0"/>
    <d v="2024-04-18T00:00:00"/>
    <d v="2024-06-04T00:00:00"/>
    <x v="0"/>
    <n v="53"/>
    <m/>
    <s v="No"/>
    <n v="48"/>
    <s v="East"/>
    <x v="2"/>
    <s v="teacher147@school.edu"/>
    <n v="26"/>
    <s v="No"/>
    <n v="0"/>
    <n v="1"/>
    <n v="47"/>
    <x v="3"/>
  </r>
  <r>
    <s v="T0148"/>
    <x v="24"/>
    <s v="Female"/>
    <n v="32"/>
    <s v="Public School"/>
    <s v="Science"/>
    <x v="4"/>
    <s v="Technology"/>
    <x v="0"/>
    <d v="2024-06-09T00:00:00"/>
    <d v="2024-06-22T00:00:00"/>
    <x v="1"/>
    <n v="67"/>
    <n v="80"/>
    <s v="Yes"/>
    <n v="34"/>
    <s v="South"/>
    <x v="4"/>
    <s v="teacher148@school.edu"/>
    <n v="20"/>
    <s v="Yes"/>
    <n v="1"/>
    <n v="1"/>
    <n v="13"/>
    <x v="1"/>
  </r>
  <r>
    <s v="T0149"/>
    <x v="16"/>
    <s v="Female"/>
    <n v="53"/>
    <s v="Central School"/>
    <s v="Social Science"/>
    <x v="0"/>
    <s v="Professional Development"/>
    <x v="1"/>
    <d v="2024-01-03T00:00:00"/>
    <d v="2024-01-26T00:00:00"/>
    <x v="0"/>
    <n v="55"/>
    <m/>
    <s v="No"/>
    <n v="46"/>
    <s v="West"/>
    <x v="2"/>
    <s v="teacher149@school.edu"/>
    <n v="29"/>
    <s v="No"/>
    <n v="0"/>
    <n v="1"/>
    <n v="23"/>
    <x v="3"/>
  </r>
  <r>
    <s v="T0150"/>
    <x v="7"/>
    <s v="Female"/>
    <n v="36"/>
    <s v="International School"/>
    <s v="Computer Science"/>
    <x v="1"/>
    <s v="Professional Development"/>
    <x v="1"/>
    <d v="2024-08-18T00:00:00"/>
    <d v="2024-10-17T00:00:00"/>
    <x v="1"/>
    <n v="43"/>
    <n v="66"/>
    <s v="Yes"/>
    <n v="13"/>
    <s v="East"/>
    <x v="3"/>
    <s v="teacher150@school.edu"/>
    <n v="10"/>
    <s v="Yes"/>
    <n v="1"/>
    <n v="1"/>
    <n v="60"/>
    <x v="2"/>
  </r>
  <r>
    <s v="T0151"/>
    <x v="22"/>
    <s v="Male"/>
    <n v="43"/>
    <s v="International School"/>
    <s v="English"/>
    <x v="0"/>
    <s v="Pedagogy"/>
    <x v="1"/>
    <d v="2024-04-20T00:00:00"/>
    <d v="2024-05-29T00:00:00"/>
    <x v="1"/>
    <n v="91"/>
    <n v="54"/>
    <s v="Yes"/>
    <n v="11"/>
    <s v="South"/>
    <x v="2"/>
    <s v="teacher151@school.edu"/>
    <n v="25"/>
    <s v="Yes"/>
    <n v="1"/>
    <n v="1"/>
    <n v="39"/>
    <x v="3"/>
  </r>
  <r>
    <s v="T0152"/>
    <x v="16"/>
    <s v="Male"/>
    <n v="52"/>
    <s v="Public School"/>
    <s v="Computer Science"/>
    <x v="4"/>
    <s v="Pedagogy"/>
    <x v="0"/>
    <d v="2024-05-25T00:00:00"/>
    <d v="2024-06-13T00:00:00"/>
    <x v="0"/>
    <n v="73"/>
    <m/>
    <s v="No"/>
    <n v="8"/>
    <s v="West"/>
    <x v="2"/>
    <s v="teacher152@school.edu"/>
    <n v="29"/>
    <s v="No"/>
    <n v="0"/>
    <n v="1"/>
    <n v="19"/>
    <x v="3"/>
  </r>
  <r>
    <s v="T0153"/>
    <x v="17"/>
    <s v="Male"/>
    <n v="59"/>
    <s v="Public School"/>
    <s v="Social Science"/>
    <x v="3"/>
    <s v="Technology"/>
    <x v="0"/>
    <d v="2024-03-04T00:00:00"/>
    <d v="2024-04-27T00:00:00"/>
    <x v="0"/>
    <n v="82"/>
    <m/>
    <s v="No"/>
    <n v="24"/>
    <s v="East"/>
    <x v="2"/>
    <s v="teacher153@school.edu"/>
    <n v="33"/>
    <s v="No"/>
    <n v="0"/>
    <n v="1"/>
    <n v="54"/>
    <x v="3"/>
  </r>
  <r>
    <s v="T0154"/>
    <x v="26"/>
    <s v="Male"/>
    <n v="42"/>
    <s v="Public School"/>
    <s v="Computer Science"/>
    <x v="1"/>
    <s v="Technology"/>
    <x v="0"/>
    <d v="2024-07-17T00:00:00"/>
    <d v="2024-09-07T00:00:00"/>
    <x v="2"/>
    <n v="18"/>
    <m/>
    <s v="No"/>
    <n v="12"/>
    <s v="South"/>
    <x v="3"/>
    <s v="teacher154@school.edu"/>
    <n v="32"/>
    <s v="No"/>
    <n v="0"/>
    <n v="1"/>
    <n v="52"/>
    <x v="3"/>
  </r>
  <r>
    <s v="T0155"/>
    <x v="13"/>
    <s v="Female"/>
    <n v="53"/>
    <s v="International School"/>
    <s v="Maths"/>
    <x v="3"/>
    <s v="Professional Development"/>
    <x v="1"/>
    <d v="2024-03-30T00:00:00"/>
    <d v="2024-05-18T00:00:00"/>
    <x v="2"/>
    <n v="17"/>
    <m/>
    <s v="No"/>
    <n v="27"/>
    <s v="South"/>
    <x v="4"/>
    <s v="teacher155@school.edu"/>
    <n v="1"/>
    <s v="No"/>
    <n v="0"/>
    <n v="1"/>
    <n v="49"/>
    <x v="0"/>
  </r>
  <r>
    <s v="T0156"/>
    <x v="32"/>
    <s v="Female"/>
    <n v="35"/>
    <s v="Govt High School"/>
    <s v="Science"/>
    <x v="4"/>
    <s v="Technology"/>
    <x v="0"/>
    <d v="2024-04-01T00:00:00"/>
    <d v="2024-04-08T00:00:00"/>
    <x v="0"/>
    <n v="50"/>
    <m/>
    <s v="No"/>
    <n v="23"/>
    <s v="East"/>
    <x v="1"/>
    <s v="teacher156@school.edu"/>
    <n v="10"/>
    <s v="No"/>
    <n v="0"/>
    <n v="1"/>
    <n v="7"/>
    <x v="2"/>
  </r>
  <r>
    <s v="T0157"/>
    <x v="31"/>
    <s v="Female"/>
    <n v="59"/>
    <s v="International School"/>
    <s v="Social Science"/>
    <x v="3"/>
    <s v="Technology"/>
    <x v="2"/>
    <d v="2024-04-15T00:00:00"/>
    <d v="2024-05-06T00:00:00"/>
    <x v="1"/>
    <n v="61"/>
    <n v="69"/>
    <s v="Yes"/>
    <n v="42"/>
    <s v="East"/>
    <x v="3"/>
    <s v="teacher157@school.edu"/>
    <n v="17"/>
    <s v="Yes"/>
    <n v="1"/>
    <n v="1"/>
    <n v="21"/>
    <x v="1"/>
  </r>
  <r>
    <s v="T0158"/>
    <x v="11"/>
    <s v="Female"/>
    <n v="48"/>
    <s v="Central School"/>
    <s v="Social Science"/>
    <x v="3"/>
    <s v="Assessment"/>
    <x v="2"/>
    <d v="2024-07-03T00:00:00"/>
    <d v="2024-07-14T00:00:00"/>
    <x v="1"/>
    <n v="41"/>
    <n v="75"/>
    <s v="Yes"/>
    <n v="26"/>
    <s v="East"/>
    <x v="2"/>
    <s v="teacher158@school.edu"/>
    <n v="15"/>
    <s v="Yes"/>
    <n v="1"/>
    <n v="1"/>
    <n v="11"/>
    <x v="1"/>
  </r>
  <r>
    <s v="T0159"/>
    <x v="11"/>
    <s v="Female"/>
    <n v="31"/>
    <s v="Govt High School"/>
    <s v="Computer Science"/>
    <x v="0"/>
    <s v="Pedagogy"/>
    <x v="2"/>
    <d v="2024-02-23T00:00:00"/>
    <d v="2024-03-28T00:00:00"/>
    <x v="1"/>
    <n v="48"/>
    <n v="97"/>
    <s v="Yes"/>
    <n v="19"/>
    <s v="West"/>
    <x v="4"/>
    <s v="teacher159@school.edu"/>
    <n v="14"/>
    <s v="Yes"/>
    <n v="1"/>
    <n v="1"/>
    <n v="34"/>
    <x v="1"/>
  </r>
  <r>
    <s v="T0160"/>
    <x v="12"/>
    <s v="Male"/>
    <n v="27"/>
    <s v="Central School"/>
    <s v="Maths"/>
    <x v="0"/>
    <s v="Assessment"/>
    <x v="1"/>
    <d v="2024-07-30T00:00:00"/>
    <d v="2024-08-09T00:00:00"/>
    <x v="1"/>
    <n v="77"/>
    <n v="50"/>
    <s v="Yes"/>
    <n v="58"/>
    <s v="North"/>
    <x v="1"/>
    <s v="teacher160@school.edu"/>
    <n v="16"/>
    <s v="Yes"/>
    <n v="1"/>
    <n v="1"/>
    <n v="10"/>
    <x v="1"/>
  </r>
  <r>
    <s v="T0161"/>
    <x v="39"/>
    <s v="Male"/>
    <n v="60"/>
    <s v="Public School"/>
    <s v="English"/>
    <x v="4"/>
    <s v="Professional Development"/>
    <x v="0"/>
    <d v="2024-06-14T00:00:00"/>
    <d v="2024-07-30T00:00:00"/>
    <x v="1"/>
    <n v="80"/>
    <n v="90"/>
    <s v="Yes"/>
    <n v="41"/>
    <s v="East"/>
    <x v="0"/>
    <s v="teacher161@school.edu"/>
    <n v="18"/>
    <s v="Yes"/>
    <n v="1"/>
    <n v="1"/>
    <n v="46"/>
    <x v="1"/>
  </r>
  <r>
    <s v="T0162"/>
    <x v="5"/>
    <s v="Male"/>
    <n v="48"/>
    <s v="International School"/>
    <s v="Computer Science"/>
    <x v="1"/>
    <s v="Professional Development"/>
    <x v="1"/>
    <d v="2024-05-11T00:00:00"/>
    <d v="2024-07-03T00:00:00"/>
    <x v="2"/>
    <n v="25"/>
    <m/>
    <s v="No"/>
    <n v="45"/>
    <s v="West"/>
    <x v="2"/>
    <s v="teacher162@school.edu"/>
    <n v="20"/>
    <s v="No"/>
    <n v="0"/>
    <n v="1"/>
    <n v="53"/>
    <x v="1"/>
  </r>
  <r>
    <s v="T0163"/>
    <x v="34"/>
    <s v="Male"/>
    <n v="43"/>
    <s v="International School"/>
    <s v="Maths"/>
    <x v="1"/>
    <s v="Professional Development"/>
    <x v="2"/>
    <d v="2024-10-27T00:00:00"/>
    <d v="2024-11-01T00:00:00"/>
    <x v="1"/>
    <n v="100"/>
    <n v="80"/>
    <s v="Yes"/>
    <n v="57"/>
    <s v="West"/>
    <x v="1"/>
    <s v="teacher163@school.edu"/>
    <n v="12"/>
    <s v="Yes"/>
    <n v="1"/>
    <n v="1"/>
    <n v="5"/>
    <x v="1"/>
  </r>
  <r>
    <s v="T0164"/>
    <x v="0"/>
    <s v="Male"/>
    <n v="22"/>
    <s v="Public School"/>
    <s v="Social Science"/>
    <x v="2"/>
    <s v="Assessment"/>
    <x v="2"/>
    <d v="2024-01-10T00:00:00"/>
    <d v="2024-02-27T00:00:00"/>
    <x v="2"/>
    <n v="34"/>
    <m/>
    <s v="No"/>
    <n v="13"/>
    <s v="East"/>
    <x v="2"/>
    <s v="teacher164@school.edu"/>
    <n v="27"/>
    <s v="No"/>
    <n v="0"/>
    <n v="1"/>
    <n v="48"/>
    <x v="3"/>
  </r>
  <r>
    <s v="T0165"/>
    <x v="20"/>
    <s v="Female"/>
    <n v="59"/>
    <s v="International School"/>
    <s v="Science"/>
    <x v="3"/>
    <s v="Professional Development"/>
    <x v="1"/>
    <d v="2024-01-30T00:00:00"/>
    <d v="2024-03-06T00:00:00"/>
    <x v="2"/>
    <n v="5"/>
    <m/>
    <s v="No"/>
    <n v="35"/>
    <s v="South"/>
    <x v="1"/>
    <s v="teacher165@school.edu"/>
    <n v="30"/>
    <s v="No"/>
    <n v="0"/>
    <n v="1"/>
    <n v="36"/>
    <x v="3"/>
  </r>
  <r>
    <s v="T0166"/>
    <x v="35"/>
    <s v="Male"/>
    <n v="60"/>
    <s v="International School"/>
    <s v="Social Science"/>
    <x v="1"/>
    <s v="Assessment"/>
    <x v="2"/>
    <d v="2024-04-13T00:00:00"/>
    <d v="2024-04-24T00:00:00"/>
    <x v="0"/>
    <n v="84"/>
    <m/>
    <s v="No"/>
    <n v="34"/>
    <s v="South"/>
    <x v="4"/>
    <s v="teacher166@school.edu"/>
    <n v="27"/>
    <s v="No"/>
    <n v="0"/>
    <n v="1"/>
    <n v="11"/>
    <x v="3"/>
  </r>
  <r>
    <s v="T0167"/>
    <x v="29"/>
    <s v="Female"/>
    <n v="60"/>
    <s v="Central School"/>
    <s v="Science"/>
    <x v="3"/>
    <s v="Professional Development"/>
    <x v="2"/>
    <d v="2024-09-11T00:00:00"/>
    <d v="2024-10-06T00:00:00"/>
    <x v="0"/>
    <n v="77"/>
    <m/>
    <s v="No"/>
    <n v="10"/>
    <s v="East"/>
    <x v="4"/>
    <s v="teacher167@school.edu"/>
    <n v="22"/>
    <s v="No"/>
    <n v="0"/>
    <n v="1"/>
    <n v="25"/>
    <x v="3"/>
  </r>
  <r>
    <s v="T0168"/>
    <x v="18"/>
    <s v="Female"/>
    <n v="39"/>
    <s v="Central School"/>
    <s v="Maths"/>
    <x v="1"/>
    <s v="Pedagogy"/>
    <x v="0"/>
    <d v="2024-09-01T00:00:00"/>
    <d v="2024-10-04T00:00:00"/>
    <x v="0"/>
    <n v="84"/>
    <m/>
    <s v="No"/>
    <n v="60"/>
    <s v="North"/>
    <x v="2"/>
    <s v="teacher168@school.edu"/>
    <n v="29"/>
    <s v="No"/>
    <n v="0"/>
    <n v="1"/>
    <n v="33"/>
    <x v="3"/>
  </r>
  <r>
    <s v="T0169"/>
    <x v="17"/>
    <s v="Female"/>
    <n v="47"/>
    <s v="International School"/>
    <s v="Computer Science"/>
    <x v="1"/>
    <s v="Pedagogy"/>
    <x v="0"/>
    <d v="2024-05-31T00:00:00"/>
    <d v="2024-07-19T00:00:00"/>
    <x v="1"/>
    <n v="85"/>
    <n v="85"/>
    <s v="Yes"/>
    <n v="42"/>
    <s v="East"/>
    <x v="0"/>
    <s v="teacher169@school.edu"/>
    <n v="1"/>
    <s v="Yes"/>
    <n v="1"/>
    <n v="1"/>
    <n v="49"/>
    <x v="0"/>
  </r>
  <r>
    <s v="T0170"/>
    <x v="16"/>
    <s v="Male"/>
    <n v="53"/>
    <s v="Central School"/>
    <s v="Social Science"/>
    <x v="1"/>
    <s v="Assessment"/>
    <x v="2"/>
    <d v="2024-01-11T00:00:00"/>
    <d v="2024-02-01T00:00:00"/>
    <x v="2"/>
    <n v="30"/>
    <m/>
    <s v="No"/>
    <n v="55"/>
    <s v="North"/>
    <x v="1"/>
    <s v="teacher170@school.edu"/>
    <n v="21"/>
    <s v="No"/>
    <n v="0"/>
    <n v="1"/>
    <n v="21"/>
    <x v="3"/>
  </r>
  <r>
    <s v="T0171"/>
    <x v="7"/>
    <s v="Female"/>
    <n v="34"/>
    <s v="Govt High School"/>
    <s v="Social Science"/>
    <x v="2"/>
    <s v="Technology"/>
    <x v="2"/>
    <d v="2024-06-14T00:00:00"/>
    <d v="2024-06-30T00:00:00"/>
    <x v="2"/>
    <n v="34"/>
    <m/>
    <s v="No"/>
    <n v="31"/>
    <s v="East"/>
    <x v="1"/>
    <s v="teacher171@school.edu"/>
    <n v="30"/>
    <s v="No"/>
    <n v="0"/>
    <n v="1"/>
    <n v="16"/>
    <x v="3"/>
  </r>
  <r>
    <s v="T0172"/>
    <x v="18"/>
    <s v="Female"/>
    <n v="39"/>
    <s v="Central School"/>
    <s v="Social Science"/>
    <x v="4"/>
    <s v="Technology"/>
    <x v="2"/>
    <d v="2024-08-02T00:00:00"/>
    <d v="2024-09-21T00:00:00"/>
    <x v="1"/>
    <n v="100"/>
    <n v="92"/>
    <s v="Yes"/>
    <n v="11"/>
    <s v="North"/>
    <x v="3"/>
    <s v="teacher172@school.edu"/>
    <n v="30"/>
    <s v="Yes"/>
    <n v="1"/>
    <n v="1"/>
    <n v="50"/>
    <x v="3"/>
  </r>
  <r>
    <s v="T0173"/>
    <x v="11"/>
    <s v="Female"/>
    <n v="47"/>
    <s v="Public School"/>
    <s v="Science"/>
    <x v="2"/>
    <s v="Pedagogy"/>
    <x v="2"/>
    <d v="2024-02-20T00:00:00"/>
    <d v="2024-03-27T00:00:00"/>
    <x v="1"/>
    <n v="40"/>
    <n v="61"/>
    <s v="Yes"/>
    <n v="60"/>
    <s v="North"/>
    <x v="4"/>
    <s v="teacher173@school.edu"/>
    <n v="20"/>
    <s v="Yes"/>
    <n v="1"/>
    <n v="1"/>
    <n v="36"/>
    <x v="1"/>
  </r>
  <r>
    <s v="T0174"/>
    <x v="3"/>
    <s v="Male"/>
    <n v="58"/>
    <s v="Public School"/>
    <s v="English"/>
    <x v="2"/>
    <s v="Professional Development"/>
    <x v="0"/>
    <d v="2024-06-01T00:00:00"/>
    <d v="2024-06-28T00:00:00"/>
    <x v="1"/>
    <n v="65"/>
    <n v="50"/>
    <s v="Yes"/>
    <n v="18"/>
    <s v="East"/>
    <x v="0"/>
    <s v="teacher174@school.edu"/>
    <n v="17"/>
    <s v="Yes"/>
    <n v="1"/>
    <n v="1"/>
    <n v="27"/>
    <x v="1"/>
  </r>
  <r>
    <s v="T0175"/>
    <x v="25"/>
    <s v="Male"/>
    <n v="25"/>
    <s v="Central School"/>
    <s v="English"/>
    <x v="2"/>
    <s v="Technology"/>
    <x v="0"/>
    <d v="2024-07-22T00:00:00"/>
    <d v="2024-09-11T00:00:00"/>
    <x v="0"/>
    <n v="69"/>
    <m/>
    <s v="No"/>
    <n v="33"/>
    <s v="South"/>
    <x v="1"/>
    <s v="teacher175@school.edu"/>
    <n v="24"/>
    <s v="No"/>
    <n v="0"/>
    <n v="1"/>
    <n v="51"/>
    <x v="3"/>
  </r>
  <r>
    <s v="T0176"/>
    <x v="12"/>
    <s v="Female"/>
    <n v="47"/>
    <s v="Central School"/>
    <s v="English"/>
    <x v="2"/>
    <s v="Assessment"/>
    <x v="2"/>
    <d v="2024-04-13T00:00:00"/>
    <d v="2024-05-02T00:00:00"/>
    <x v="0"/>
    <n v="95"/>
    <m/>
    <s v="No"/>
    <n v="36"/>
    <s v="North"/>
    <x v="3"/>
    <s v="teacher176@school.edu"/>
    <n v="15"/>
    <s v="No"/>
    <n v="0"/>
    <n v="1"/>
    <n v="19"/>
    <x v="1"/>
  </r>
  <r>
    <s v="T0177"/>
    <x v="29"/>
    <s v="Female"/>
    <n v="36"/>
    <s v="Public School"/>
    <s v="Maths"/>
    <x v="2"/>
    <s v="Professional Development"/>
    <x v="2"/>
    <d v="2024-02-23T00:00:00"/>
    <d v="2024-04-05T00:00:00"/>
    <x v="2"/>
    <n v="22"/>
    <m/>
    <s v="No"/>
    <n v="50"/>
    <s v="West"/>
    <x v="3"/>
    <s v="teacher177@school.edu"/>
    <n v="32"/>
    <s v="No"/>
    <n v="0"/>
    <n v="1"/>
    <n v="42"/>
    <x v="3"/>
  </r>
  <r>
    <s v="T0178"/>
    <x v="31"/>
    <s v="Male"/>
    <n v="46"/>
    <s v="Public School"/>
    <s v="Maths"/>
    <x v="0"/>
    <s v="Assessment"/>
    <x v="1"/>
    <d v="2024-01-21T00:00:00"/>
    <d v="2024-02-16T00:00:00"/>
    <x v="1"/>
    <n v="61"/>
    <n v="72"/>
    <s v="Yes"/>
    <n v="43"/>
    <s v="East"/>
    <x v="3"/>
    <s v="teacher178@school.edu"/>
    <n v="25"/>
    <s v="Yes"/>
    <n v="1"/>
    <n v="1"/>
    <n v="26"/>
    <x v="3"/>
  </r>
  <r>
    <s v="T0179"/>
    <x v="16"/>
    <s v="Female"/>
    <n v="28"/>
    <s v="Public School"/>
    <s v="Maths"/>
    <x v="0"/>
    <s v="Pedagogy"/>
    <x v="1"/>
    <d v="2024-08-15T00:00:00"/>
    <d v="2024-10-09T00:00:00"/>
    <x v="2"/>
    <n v="28"/>
    <m/>
    <s v="No"/>
    <n v="15"/>
    <s v="North"/>
    <x v="0"/>
    <s v="teacher179@school.edu"/>
    <n v="13"/>
    <s v="No"/>
    <n v="0"/>
    <n v="1"/>
    <n v="55"/>
    <x v="1"/>
  </r>
  <r>
    <s v="T0180"/>
    <x v="27"/>
    <s v="Female"/>
    <n v="39"/>
    <s v="Public School"/>
    <s v="Computer Science"/>
    <x v="3"/>
    <s v="Assessment"/>
    <x v="2"/>
    <d v="2024-09-05T00:00:00"/>
    <d v="2024-10-13T00:00:00"/>
    <x v="0"/>
    <n v="40"/>
    <m/>
    <s v="No"/>
    <n v="6"/>
    <s v="North"/>
    <x v="3"/>
    <s v="teacher180@school.edu"/>
    <n v="35"/>
    <s v="No"/>
    <n v="0"/>
    <n v="1"/>
    <n v="38"/>
    <x v="3"/>
  </r>
  <r>
    <s v="T0181"/>
    <x v="16"/>
    <s v="Female"/>
    <n v="24"/>
    <s v="International School"/>
    <s v="Maths"/>
    <x v="0"/>
    <s v="Professional Development"/>
    <x v="2"/>
    <d v="2024-06-05T00:00:00"/>
    <d v="2024-07-19T00:00:00"/>
    <x v="1"/>
    <n v="43"/>
    <n v="91"/>
    <s v="Yes"/>
    <n v="27"/>
    <s v="East"/>
    <x v="0"/>
    <s v="teacher181@school.edu"/>
    <n v="23"/>
    <s v="Yes"/>
    <n v="1"/>
    <n v="1"/>
    <n v="44"/>
    <x v="3"/>
  </r>
  <r>
    <s v="T0182"/>
    <x v="17"/>
    <s v="Male"/>
    <n v="45"/>
    <s v="Central School"/>
    <s v="Science"/>
    <x v="1"/>
    <s v="Professional Development"/>
    <x v="0"/>
    <d v="2024-01-10T00:00:00"/>
    <d v="2024-02-13T00:00:00"/>
    <x v="0"/>
    <n v="59"/>
    <m/>
    <s v="No"/>
    <n v="16"/>
    <s v="North"/>
    <x v="2"/>
    <s v="teacher182@school.edu"/>
    <n v="34"/>
    <s v="No"/>
    <n v="0"/>
    <n v="1"/>
    <n v="34"/>
    <x v="3"/>
  </r>
  <r>
    <s v="T0183"/>
    <x v="5"/>
    <s v="Female"/>
    <n v="59"/>
    <s v="Public School"/>
    <s v="Social Science"/>
    <x v="0"/>
    <s v="Assessment"/>
    <x v="0"/>
    <d v="2024-10-07T00:00:00"/>
    <d v="2024-10-19T00:00:00"/>
    <x v="2"/>
    <n v="9"/>
    <m/>
    <s v="No"/>
    <n v="47"/>
    <s v="South"/>
    <x v="3"/>
    <s v="teacher183@school.edu"/>
    <n v="3"/>
    <s v="No"/>
    <n v="0"/>
    <n v="1"/>
    <n v="12"/>
    <x v="0"/>
  </r>
  <r>
    <s v="T0184"/>
    <x v="22"/>
    <s v="Female"/>
    <n v="58"/>
    <s v="International School"/>
    <s v="Maths"/>
    <x v="0"/>
    <s v="Assessment"/>
    <x v="0"/>
    <d v="2024-07-31T00:00:00"/>
    <d v="2024-08-14T00:00:00"/>
    <x v="0"/>
    <n v="56"/>
    <m/>
    <s v="No"/>
    <n v="49"/>
    <s v="South"/>
    <x v="2"/>
    <s v="teacher184@school.edu"/>
    <n v="18"/>
    <s v="No"/>
    <n v="0"/>
    <n v="1"/>
    <n v="14"/>
    <x v="1"/>
  </r>
  <r>
    <s v="T0185"/>
    <x v="16"/>
    <s v="Female"/>
    <n v="44"/>
    <s v="Govt High School"/>
    <s v="Social Science"/>
    <x v="2"/>
    <s v="Professional Development"/>
    <x v="1"/>
    <d v="2024-03-21T00:00:00"/>
    <d v="2024-04-23T00:00:00"/>
    <x v="1"/>
    <n v="57"/>
    <n v="85"/>
    <s v="Yes"/>
    <n v="21"/>
    <s v="West"/>
    <x v="2"/>
    <s v="teacher185@school.edu"/>
    <n v="5"/>
    <s v="Yes"/>
    <n v="1"/>
    <n v="1"/>
    <n v="33"/>
    <x v="0"/>
  </r>
  <r>
    <s v="T0186"/>
    <x v="26"/>
    <s v="Female"/>
    <n v="50"/>
    <s v="International School"/>
    <s v="Social Science"/>
    <x v="3"/>
    <s v="Assessment"/>
    <x v="2"/>
    <d v="2024-04-12T00:00:00"/>
    <d v="2024-05-07T00:00:00"/>
    <x v="1"/>
    <n v="64"/>
    <n v="100"/>
    <s v="Yes"/>
    <n v="58"/>
    <s v="East"/>
    <x v="3"/>
    <s v="teacher186@school.edu"/>
    <n v="13"/>
    <s v="Yes"/>
    <n v="1"/>
    <n v="1"/>
    <n v="25"/>
    <x v="1"/>
  </r>
  <r>
    <s v="T0187"/>
    <x v="31"/>
    <s v="Male"/>
    <n v="59"/>
    <s v="Public School"/>
    <s v="English"/>
    <x v="2"/>
    <s v="Pedagogy"/>
    <x v="2"/>
    <d v="2024-02-08T00:00:00"/>
    <d v="2024-02-14T00:00:00"/>
    <x v="1"/>
    <n v="69"/>
    <n v="90"/>
    <s v="Yes"/>
    <n v="12"/>
    <s v="South"/>
    <x v="3"/>
    <s v="teacher187@school.edu"/>
    <n v="30"/>
    <s v="Yes"/>
    <n v="1"/>
    <n v="1"/>
    <n v="6"/>
    <x v="3"/>
  </r>
  <r>
    <s v="T0188"/>
    <x v="37"/>
    <s v="Female"/>
    <n v="37"/>
    <s v="Public School"/>
    <s v="English"/>
    <x v="2"/>
    <s v="Professional Development"/>
    <x v="1"/>
    <d v="2024-10-08T00:00:00"/>
    <d v="2024-11-02T00:00:00"/>
    <x v="1"/>
    <n v="74"/>
    <n v="75"/>
    <s v="Yes"/>
    <n v="54"/>
    <s v="West"/>
    <x v="4"/>
    <s v="teacher188@school.edu"/>
    <n v="34"/>
    <s v="Yes"/>
    <n v="1"/>
    <n v="1"/>
    <n v="25"/>
    <x v="3"/>
  </r>
  <r>
    <s v="T0189"/>
    <x v="11"/>
    <s v="Male"/>
    <n v="28"/>
    <s v="International School"/>
    <s v="English"/>
    <x v="0"/>
    <s v="Pedagogy"/>
    <x v="2"/>
    <d v="2024-05-13T00:00:00"/>
    <d v="2024-07-04T00:00:00"/>
    <x v="0"/>
    <n v="57"/>
    <m/>
    <s v="No"/>
    <n v="8"/>
    <s v="East"/>
    <x v="3"/>
    <s v="teacher189@school.edu"/>
    <n v="27"/>
    <s v="No"/>
    <n v="0"/>
    <n v="1"/>
    <n v="52"/>
    <x v="3"/>
  </r>
  <r>
    <s v="T0190"/>
    <x v="6"/>
    <s v="Female"/>
    <n v="31"/>
    <s v="Govt High School"/>
    <s v="English"/>
    <x v="4"/>
    <s v="Pedagogy"/>
    <x v="0"/>
    <d v="2024-09-22T00:00:00"/>
    <d v="2024-11-14T00:00:00"/>
    <x v="1"/>
    <n v="73"/>
    <n v="70"/>
    <s v="Yes"/>
    <n v="36"/>
    <s v="South"/>
    <x v="4"/>
    <s v="teacher190@school.edu"/>
    <n v="7"/>
    <s v="Yes"/>
    <n v="1"/>
    <n v="1"/>
    <n v="53"/>
    <x v="2"/>
  </r>
  <r>
    <s v="T0191"/>
    <x v="25"/>
    <s v="Male"/>
    <n v="32"/>
    <s v="Central School"/>
    <s v="Science"/>
    <x v="1"/>
    <s v="Pedagogy"/>
    <x v="0"/>
    <d v="2024-07-24T00:00:00"/>
    <d v="2024-09-02T00:00:00"/>
    <x v="1"/>
    <n v="47"/>
    <n v="74"/>
    <s v="Yes"/>
    <n v="53"/>
    <s v="North"/>
    <x v="0"/>
    <s v="teacher191@school.edu"/>
    <n v="27"/>
    <s v="Yes"/>
    <n v="1"/>
    <n v="1"/>
    <n v="40"/>
    <x v="3"/>
  </r>
  <r>
    <s v="T0192"/>
    <x v="9"/>
    <s v="Male"/>
    <n v="58"/>
    <s v="Public School"/>
    <s v="Social Science"/>
    <x v="3"/>
    <s v="Pedagogy"/>
    <x v="1"/>
    <d v="2024-06-04T00:00:00"/>
    <d v="2024-07-05T00:00:00"/>
    <x v="0"/>
    <n v="68"/>
    <m/>
    <s v="No"/>
    <n v="18"/>
    <s v="North"/>
    <x v="1"/>
    <s v="teacher192@school.edu"/>
    <n v="35"/>
    <s v="No"/>
    <n v="0"/>
    <n v="1"/>
    <n v="31"/>
    <x v="3"/>
  </r>
  <r>
    <s v="T0193"/>
    <x v="16"/>
    <s v="Female"/>
    <n v="40"/>
    <s v="International School"/>
    <s v="Maths"/>
    <x v="3"/>
    <s v="Assessment"/>
    <x v="0"/>
    <d v="2024-08-27T00:00:00"/>
    <d v="2024-09-04T00:00:00"/>
    <x v="0"/>
    <n v="55"/>
    <m/>
    <s v="No"/>
    <n v="15"/>
    <s v="West"/>
    <x v="3"/>
    <s v="teacher193@school.edu"/>
    <n v="27"/>
    <s v="No"/>
    <n v="0"/>
    <n v="1"/>
    <n v="8"/>
    <x v="3"/>
  </r>
  <r>
    <s v="T0194"/>
    <x v="29"/>
    <s v="Male"/>
    <n v="28"/>
    <s v="International School"/>
    <s v="Science"/>
    <x v="3"/>
    <s v="Assessment"/>
    <x v="0"/>
    <d v="2024-04-01T00:00:00"/>
    <d v="2024-05-13T00:00:00"/>
    <x v="0"/>
    <n v="80"/>
    <m/>
    <s v="No"/>
    <n v="31"/>
    <s v="North"/>
    <x v="1"/>
    <s v="teacher194@school.edu"/>
    <n v="35"/>
    <s v="No"/>
    <n v="0"/>
    <n v="1"/>
    <n v="42"/>
    <x v="3"/>
  </r>
  <r>
    <s v="T0195"/>
    <x v="26"/>
    <s v="Female"/>
    <n v="32"/>
    <s v="Central School"/>
    <s v="English"/>
    <x v="3"/>
    <s v="Assessment"/>
    <x v="2"/>
    <d v="2024-03-04T00:00:00"/>
    <d v="2024-04-16T00:00:00"/>
    <x v="1"/>
    <n v="50"/>
    <n v="52"/>
    <s v="Yes"/>
    <n v="7"/>
    <s v="South"/>
    <x v="3"/>
    <s v="teacher195@school.edu"/>
    <n v="27"/>
    <s v="Yes"/>
    <n v="1"/>
    <n v="1"/>
    <n v="43"/>
    <x v="3"/>
  </r>
  <r>
    <s v="T0196"/>
    <x v="39"/>
    <s v="Male"/>
    <n v="33"/>
    <s v="Public School"/>
    <s v="Social Science"/>
    <x v="2"/>
    <s v="Pedagogy"/>
    <x v="1"/>
    <d v="2024-03-24T00:00:00"/>
    <d v="2024-04-01T00:00:00"/>
    <x v="1"/>
    <n v="97"/>
    <n v="64"/>
    <s v="Yes"/>
    <n v="14"/>
    <s v="South"/>
    <x v="1"/>
    <s v="teacher196@school.edu"/>
    <n v="2"/>
    <s v="Yes"/>
    <n v="1"/>
    <n v="1"/>
    <n v="8"/>
    <x v="0"/>
  </r>
  <r>
    <s v="T0197"/>
    <x v="9"/>
    <s v="Male"/>
    <n v="53"/>
    <s v="Public School"/>
    <s v="Social Science"/>
    <x v="3"/>
    <s v="Assessment"/>
    <x v="1"/>
    <d v="2024-08-28T00:00:00"/>
    <d v="2024-10-08T00:00:00"/>
    <x v="2"/>
    <n v="27"/>
    <m/>
    <s v="No"/>
    <n v="22"/>
    <s v="North"/>
    <x v="1"/>
    <s v="teacher197@school.edu"/>
    <n v="3"/>
    <s v="No"/>
    <n v="0"/>
    <n v="1"/>
    <n v="41"/>
    <x v="0"/>
  </r>
  <r>
    <s v="T0198"/>
    <x v="1"/>
    <s v="Male"/>
    <n v="57"/>
    <s v="Public School"/>
    <s v="Maths"/>
    <x v="3"/>
    <s v="Technology"/>
    <x v="0"/>
    <d v="2024-03-09T00:00:00"/>
    <d v="2024-04-28T00:00:00"/>
    <x v="1"/>
    <n v="81"/>
    <n v="71"/>
    <s v="Yes"/>
    <n v="21"/>
    <s v="West"/>
    <x v="2"/>
    <s v="teacher198@school.edu"/>
    <n v="6"/>
    <s v="Yes"/>
    <n v="1"/>
    <n v="1"/>
    <n v="50"/>
    <x v="2"/>
  </r>
  <r>
    <s v="T0199"/>
    <x v="33"/>
    <s v="Female"/>
    <n v="26"/>
    <s v="International School"/>
    <s v="Science"/>
    <x v="2"/>
    <s v="Assessment"/>
    <x v="0"/>
    <d v="2024-05-18T00:00:00"/>
    <d v="2024-05-27T00:00:00"/>
    <x v="1"/>
    <n v="54"/>
    <n v="89"/>
    <s v="Yes"/>
    <n v="36"/>
    <s v="South"/>
    <x v="2"/>
    <s v="teacher199@school.edu"/>
    <n v="15"/>
    <s v="Yes"/>
    <n v="1"/>
    <n v="1"/>
    <n v="9"/>
    <x v="1"/>
  </r>
  <r>
    <s v="T0200"/>
    <x v="21"/>
    <s v="Male"/>
    <n v="59"/>
    <s v="Public School"/>
    <s v="Social Science"/>
    <x v="2"/>
    <s v="Technology"/>
    <x v="0"/>
    <d v="2024-01-03T00:00:00"/>
    <d v="2024-01-21T00:00:00"/>
    <x v="1"/>
    <n v="40"/>
    <n v="79"/>
    <s v="Yes"/>
    <n v="60"/>
    <s v="East"/>
    <x v="1"/>
    <s v="teacher200@school.edu"/>
    <n v="25"/>
    <s v="Yes"/>
    <n v="1"/>
    <n v="1"/>
    <n v="18"/>
    <x v="3"/>
  </r>
  <r>
    <s v="T0201"/>
    <x v="17"/>
    <s v="Female"/>
    <n v="47"/>
    <s v="Central School"/>
    <s v="Computer Science"/>
    <x v="3"/>
    <s v="Professional Development"/>
    <x v="1"/>
    <d v="2024-01-30T00:00:00"/>
    <d v="2024-03-09T00:00:00"/>
    <x v="0"/>
    <n v="48"/>
    <m/>
    <s v="No"/>
    <n v="16"/>
    <s v="North"/>
    <x v="4"/>
    <s v="teacher201@school.edu"/>
    <n v="35"/>
    <s v="No"/>
    <n v="0"/>
    <n v="1"/>
    <n v="39"/>
    <x v="3"/>
  </r>
  <r>
    <s v="T0202"/>
    <x v="12"/>
    <s v="Male"/>
    <n v="29"/>
    <s v="International School"/>
    <s v="Science"/>
    <x v="4"/>
    <s v="Assessment"/>
    <x v="0"/>
    <d v="2024-04-01T00:00:00"/>
    <d v="2024-05-09T00:00:00"/>
    <x v="2"/>
    <n v="13"/>
    <m/>
    <s v="No"/>
    <n v="9"/>
    <s v="East"/>
    <x v="4"/>
    <s v="teacher202@school.edu"/>
    <n v="12"/>
    <s v="No"/>
    <n v="0"/>
    <n v="1"/>
    <n v="38"/>
    <x v="1"/>
  </r>
  <r>
    <s v="T0203"/>
    <x v="28"/>
    <s v="Female"/>
    <n v="39"/>
    <s v="Govt High School"/>
    <s v="Science"/>
    <x v="3"/>
    <s v="Technology"/>
    <x v="1"/>
    <d v="2024-02-07T00:00:00"/>
    <d v="2024-03-14T00:00:00"/>
    <x v="2"/>
    <n v="16"/>
    <m/>
    <s v="No"/>
    <n v="9"/>
    <s v="North"/>
    <x v="4"/>
    <s v="teacher203@school.edu"/>
    <n v="35"/>
    <s v="No"/>
    <n v="0"/>
    <n v="1"/>
    <n v="36"/>
    <x v="3"/>
  </r>
  <r>
    <s v="T0204"/>
    <x v="30"/>
    <s v="Female"/>
    <n v="58"/>
    <s v="Public School"/>
    <s v="English"/>
    <x v="1"/>
    <s v="Assessment"/>
    <x v="0"/>
    <d v="2024-10-01T00:00:00"/>
    <d v="2024-11-03T00:00:00"/>
    <x v="2"/>
    <n v="33"/>
    <m/>
    <s v="No"/>
    <n v="37"/>
    <s v="West"/>
    <x v="4"/>
    <s v="teacher204@school.edu"/>
    <n v="12"/>
    <s v="No"/>
    <n v="0"/>
    <n v="1"/>
    <n v="33"/>
    <x v="1"/>
  </r>
  <r>
    <s v="T0205"/>
    <x v="11"/>
    <s v="Female"/>
    <n v="28"/>
    <s v="International School"/>
    <s v="Science"/>
    <x v="3"/>
    <s v="Assessment"/>
    <x v="2"/>
    <d v="2024-07-24T00:00:00"/>
    <d v="2024-08-20T00:00:00"/>
    <x v="2"/>
    <n v="4"/>
    <m/>
    <s v="No"/>
    <n v="31"/>
    <s v="North"/>
    <x v="0"/>
    <s v="teacher205@school.edu"/>
    <n v="12"/>
    <s v="No"/>
    <n v="0"/>
    <n v="1"/>
    <n v="27"/>
    <x v="1"/>
  </r>
  <r>
    <s v="T0206"/>
    <x v="30"/>
    <s v="Male"/>
    <n v="58"/>
    <s v="Govt High School"/>
    <s v="Social Science"/>
    <x v="3"/>
    <s v="Pedagogy"/>
    <x v="2"/>
    <d v="2024-02-24T00:00:00"/>
    <d v="2024-03-13T00:00:00"/>
    <x v="0"/>
    <n v="79"/>
    <m/>
    <s v="No"/>
    <n v="19"/>
    <s v="North"/>
    <x v="3"/>
    <s v="teacher206@school.edu"/>
    <n v="4"/>
    <s v="No"/>
    <n v="0"/>
    <n v="1"/>
    <n v="18"/>
    <x v="0"/>
  </r>
  <r>
    <s v="T0207"/>
    <x v="16"/>
    <s v="Male"/>
    <n v="43"/>
    <s v="Central School"/>
    <s v="English"/>
    <x v="4"/>
    <s v="Assessment"/>
    <x v="0"/>
    <d v="2024-08-12T00:00:00"/>
    <d v="2024-09-14T00:00:00"/>
    <x v="0"/>
    <n v="72"/>
    <m/>
    <s v="No"/>
    <n v="18"/>
    <s v="North"/>
    <x v="1"/>
    <s v="teacher207@school.edu"/>
    <n v="26"/>
    <s v="No"/>
    <n v="0"/>
    <n v="1"/>
    <n v="33"/>
    <x v="3"/>
  </r>
  <r>
    <s v="T0208"/>
    <x v="5"/>
    <s v="Male"/>
    <n v="29"/>
    <s v="Central School"/>
    <s v="Maths"/>
    <x v="3"/>
    <s v="Technology"/>
    <x v="2"/>
    <d v="2024-08-09T00:00:00"/>
    <d v="2024-10-02T00:00:00"/>
    <x v="0"/>
    <n v="46"/>
    <m/>
    <s v="No"/>
    <n v="60"/>
    <s v="South"/>
    <x v="1"/>
    <s v="teacher208@school.edu"/>
    <n v="3"/>
    <s v="No"/>
    <n v="0"/>
    <n v="1"/>
    <n v="54"/>
    <x v="0"/>
  </r>
  <r>
    <s v="T0209"/>
    <x v="7"/>
    <s v="Male"/>
    <n v="54"/>
    <s v="International School"/>
    <s v="Computer Science"/>
    <x v="4"/>
    <s v="Technology"/>
    <x v="0"/>
    <d v="2024-04-17T00:00:00"/>
    <d v="2024-05-21T00:00:00"/>
    <x v="1"/>
    <n v="64"/>
    <n v="73"/>
    <s v="Yes"/>
    <n v="11"/>
    <s v="North"/>
    <x v="2"/>
    <s v="teacher209@school.edu"/>
    <n v="14"/>
    <s v="Yes"/>
    <n v="1"/>
    <n v="1"/>
    <n v="34"/>
    <x v="1"/>
  </r>
  <r>
    <s v="T0210"/>
    <x v="1"/>
    <s v="Female"/>
    <n v="27"/>
    <s v="Govt High School"/>
    <s v="Social Science"/>
    <x v="4"/>
    <s v="Assessment"/>
    <x v="1"/>
    <d v="2024-04-30T00:00:00"/>
    <d v="2024-05-19T00:00:00"/>
    <x v="2"/>
    <n v="2"/>
    <m/>
    <s v="No"/>
    <n v="39"/>
    <s v="South"/>
    <x v="2"/>
    <s v="teacher210@school.edu"/>
    <n v="22"/>
    <s v="No"/>
    <n v="0"/>
    <n v="1"/>
    <n v="19"/>
    <x v="3"/>
  </r>
  <r>
    <s v="T0211"/>
    <x v="2"/>
    <s v="Male"/>
    <n v="37"/>
    <s v="International School"/>
    <s v="Computer Science"/>
    <x v="4"/>
    <s v="Technology"/>
    <x v="0"/>
    <d v="2024-09-25T00:00:00"/>
    <d v="2024-10-08T00:00:00"/>
    <x v="0"/>
    <n v="43"/>
    <m/>
    <s v="No"/>
    <n v="39"/>
    <s v="East"/>
    <x v="1"/>
    <s v="teacher211@school.edu"/>
    <n v="7"/>
    <s v="No"/>
    <n v="0"/>
    <n v="1"/>
    <n v="13"/>
    <x v="2"/>
  </r>
  <r>
    <s v="T0212"/>
    <x v="5"/>
    <s v="Female"/>
    <n v="37"/>
    <s v="International School"/>
    <s v="Maths"/>
    <x v="3"/>
    <s v="Assessment"/>
    <x v="2"/>
    <d v="2024-05-12T00:00:00"/>
    <d v="2024-06-13T00:00:00"/>
    <x v="0"/>
    <n v="44"/>
    <m/>
    <s v="No"/>
    <n v="25"/>
    <s v="East"/>
    <x v="2"/>
    <s v="teacher212@school.edu"/>
    <n v="22"/>
    <s v="No"/>
    <n v="0"/>
    <n v="1"/>
    <n v="32"/>
    <x v="3"/>
  </r>
  <r>
    <s v="T0213"/>
    <x v="25"/>
    <s v="Female"/>
    <n v="34"/>
    <s v="Public School"/>
    <s v="Science"/>
    <x v="2"/>
    <s v="Professional Development"/>
    <x v="0"/>
    <d v="2024-07-31T00:00:00"/>
    <d v="2024-09-07T00:00:00"/>
    <x v="0"/>
    <n v="77"/>
    <m/>
    <s v="No"/>
    <n v="13"/>
    <s v="North"/>
    <x v="0"/>
    <s v="teacher213@school.edu"/>
    <n v="10"/>
    <s v="No"/>
    <n v="0"/>
    <n v="1"/>
    <n v="38"/>
    <x v="2"/>
  </r>
  <r>
    <s v="T0214"/>
    <x v="2"/>
    <s v="Male"/>
    <n v="35"/>
    <s v="Govt High School"/>
    <s v="Social Science"/>
    <x v="2"/>
    <s v="Assessment"/>
    <x v="1"/>
    <d v="2024-09-08T00:00:00"/>
    <d v="2024-09-27T00:00:00"/>
    <x v="0"/>
    <n v="74"/>
    <m/>
    <s v="No"/>
    <n v="29"/>
    <s v="North"/>
    <x v="1"/>
    <s v="teacher214@school.edu"/>
    <n v="19"/>
    <s v="No"/>
    <n v="0"/>
    <n v="1"/>
    <n v="19"/>
    <x v="1"/>
  </r>
  <r>
    <s v="T0215"/>
    <x v="8"/>
    <s v="Male"/>
    <n v="56"/>
    <s v="Public School"/>
    <s v="Computer Science"/>
    <x v="4"/>
    <s v="Pedagogy"/>
    <x v="0"/>
    <d v="2024-06-19T00:00:00"/>
    <d v="2024-07-25T00:00:00"/>
    <x v="2"/>
    <n v="8"/>
    <m/>
    <s v="No"/>
    <n v="53"/>
    <s v="South"/>
    <x v="4"/>
    <s v="teacher215@school.edu"/>
    <n v="2"/>
    <s v="No"/>
    <n v="0"/>
    <n v="1"/>
    <n v="36"/>
    <x v="0"/>
  </r>
  <r>
    <s v="T0216"/>
    <x v="16"/>
    <s v="Male"/>
    <n v="35"/>
    <s v="International School"/>
    <s v="Social Science"/>
    <x v="3"/>
    <s v="Technology"/>
    <x v="2"/>
    <d v="2024-07-19T00:00:00"/>
    <d v="2024-09-16T00:00:00"/>
    <x v="2"/>
    <n v="36"/>
    <m/>
    <s v="No"/>
    <n v="43"/>
    <s v="West"/>
    <x v="4"/>
    <s v="teacher216@school.edu"/>
    <n v="3"/>
    <s v="No"/>
    <n v="0"/>
    <n v="1"/>
    <n v="59"/>
    <x v="0"/>
  </r>
  <r>
    <s v="T0217"/>
    <x v="28"/>
    <s v="Female"/>
    <n v="29"/>
    <s v="Public School"/>
    <s v="Computer Science"/>
    <x v="3"/>
    <s v="Technology"/>
    <x v="0"/>
    <d v="2024-05-19T00:00:00"/>
    <d v="2024-06-16T00:00:00"/>
    <x v="0"/>
    <n v="78"/>
    <m/>
    <s v="No"/>
    <n v="31"/>
    <s v="South"/>
    <x v="3"/>
    <s v="teacher217@school.edu"/>
    <n v="8"/>
    <s v="No"/>
    <n v="0"/>
    <n v="1"/>
    <n v="28"/>
    <x v="2"/>
  </r>
  <r>
    <s v="T0218"/>
    <x v="26"/>
    <s v="Male"/>
    <n v="54"/>
    <s v="Govt High School"/>
    <s v="Social Science"/>
    <x v="1"/>
    <s v="Pedagogy"/>
    <x v="1"/>
    <d v="2024-04-30T00:00:00"/>
    <d v="2024-05-20T00:00:00"/>
    <x v="1"/>
    <n v="86"/>
    <n v="86"/>
    <s v="Yes"/>
    <n v="36"/>
    <s v="North"/>
    <x v="0"/>
    <s v="teacher218@school.edu"/>
    <n v="4"/>
    <s v="Yes"/>
    <n v="1"/>
    <n v="1"/>
    <n v="20"/>
    <x v="0"/>
  </r>
  <r>
    <s v="T0219"/>
    <x v="8"/>
    <s v="Male"/>
    <n v="39"/>
    <s v="Central School"/>
    <s v="Computer Science"/>
    <x v="3"/>
    <s v="Pedagogy"/>
    <x v="2"/>
    <d v="2024-08-19T00:00:00"/>
    <d v="2024-08-24T00:00:00"/>
    <x v="0"/>
    <n v="100"/>
    <m/>
    <s v="No"/>
    <n v="41"/>
    <s v="South"/>
    <x v="2"/>
    <s v="teacher219@school.edu"/>
    <n v="33"/>
    <s v="No"/>
    <n v="0"/>
    <n v="1"/>
    <n v="5"/>
    <x v="3"/>
  </r>
  <r>
    <s v="T0220"/>
    <x v="17"/>
    <s v="Female"/>
    <n v="50"/>
    <s v="Central School"/>
    <s v="Science"/>
    <x v="2"/>
    <s v="Assessment"/>
    <x v="1"/>
    <d v="2024-08-05T00:00:00"/>
    <d v="2024-09-02T00:00:00"/>
    <x v="2"/>
    <n v="0"/>
    <m/>
    <s v="No"/>
    <n v="27"/>
    <s v="East"/>
    <x v="0"/>
    <s v="teacher220@school.edu"/>
    <n v="25"/>
    <s v="No"/>
    <n v="0"/>
    <n v="1"/>
    <n v="28"/>
    <x v="3"/>
  </r>
  <r>
    <s v="T0221"/>
    <x v="37"/>
    <s v="Male"/>
    <n v="34"/>
    <s v="Central School"/>
    <s v="Computer Science"/>
    <x v="2"/>
    <s v="Technology"/>
    <x v="0"/>
    <d v="2024-04-08T00:00:00"/>
    <d v="2024-04-29T00:00:00"/>
    <x v="0"/>
    <n v="76"/>
    <m/>
    <s v="No"/>
    <n v="38"/>
    <s v="South"/>
    <x v="4"/>
    <s v="teacher221@school.edu"/>
    <n v="29"/>
    <s v="No"/>
    <n v="0"/>
    <n v="1"/>
    <n v="21"/>
    <x v="3"/>
  </r>
  <r>
    <s v="T0222"/>
    <x v="8"/>
    <s v="Female"/>
    <n v="28"/>
    <s v="Public School"/>
    <s v="Social Science"/>
    <x v="0"/>
    <s v="Technology"/>
    <x v="1"/>
    <d v="2024-10-07T00:00:00"/>
    <d v="2024-11-24T00:00:00"/>
    <x v="0"/>
    <n v="53"/>
    <m/>
    <s v="No"/>
    <n v="58"/>
    <s v="West"/>
    <x v="4"/>
    <s v="teacher222@school.edu"/>
    <n v="35"/>
    <s v="No"/>
    <n v="0"/>
    <n v="1"/>
    <n v="48"/>
    <x v="3"/>
  </r>
  <r>
    <s v="T0223"/>
    <x v="7"/>
    <s v="Female"/>
    <n v="24"/>
    <s v="Public School"/>
    <s v="Computer Science"/>
    <x v="3"/>
    <s v="Assessment"/>
    <x v="0"/>
    <d v="2024-07-23T00:00:00"/>
    <d v="2024-08-30T00:00:00"/>
    <x v="2"/>
    <n v="5"/>
    <m/>
    <s v="No"/>
    <n v="57"/>
    <s v="North"/>
    <x v="4"/>
    <s v="teacher223@school.edu"/>
    <n v="28"/>
    <s v="No"/>
    <n v="0"/>
    <n v="1"/>
    <n v="38"/>
    <x v="3"/>
  </r>
  <r>
    <s v="T0224"/>
    <x v="38"/>
    <s v="Male"/>
    <n v="27"/>
    <s v="Central School"/>
    <s v="Computer Science"/>
    <x v="4"/>
    <s v="Technology"/>
    <x v="0"/>
    <d v="2024-02-13T00:00:00"/>
    <d v="2024-04-06T00:00:00"/>
    <x v="2"/>
    <n v="16"/>
    <m/>
    <s v="No"/>
    <n v="37"/>
    <s v="North"/>
    <x v="1"/>
    <s v="teacher224@school.edu"/>
    <n v="5"/>
    <s v="No"/>
    <n v="0"/>
    <n v="1"/>
    <n v="53"/>
    <x v="0"/>
  </r>
  <r>
    <s v="T0225"/>
    <x v="9"/>
    <s v="Male"/>
    <n v="27"/>
    <s v="International School"/>
    <s v="Maths"/>
    <x v="2"/>
    <s v="Assessment"/>
    <x v="1"/>
    <d v="2024-08-15T00:00:00"/>
    <d v="2024-09-09T00:00:00"/>
    <x v="2"/>
    <n v="12"/>
    <m/>
    <s v="No"/>
    <n v="6"/>
    <s v="East"/>
    <x v="1"/>
    <s v="teacher225@school.edu"/>
    <n v="27"/>
    <s v="No"/>
    <n v="0"/>
    <n v="1"/>
    <n v="25"/>
    <x v="3"/>
  </r>
  <r>
    <s v="T0226"/>
    <x v="28"/>
    <s v="Male"/>
    <n v="57"/>
    <s v="Govt High School"/>
    <s v="Maths"/>
    <x v="4"/>
    <s v="Assessment"/>
    <x v="2"/>
    <d v="2024-03-06T00:00:00"/>
    <d v="2024-03-19T00:00:00"/>
    <x v="0"/>
    <n v="58"/>
    <m/>
    <s v="No"/>
    <n v="53"/>
    <s v="East"/>
    <x v="4"/>
    <s v="teacher226@school.edu"/>
    <n v="22"/>
    <s v="No"/>
    <n v="0"/>
    <n v="1"/>
    <n v="13"/>
    <x v="3"/>
  </r>
  <r>
    <s v="T0227"/>
    <x v="15"/>
    <s v="Female"/>
    <n v="50"/>
    <s v="Central School"/>
    <s v="Science"/>
    <x v="0"/>
    <s v="Professional Development"/>
    <x v="2"/>
    <d v="2024-02-13T00:00:00"/>
    <d v="2024-04-02T00:00:00"/>
    <x v="0"/>
    <n v="57"/>
    <m/>
    <s v="No"/>
    <n v="40"/>
    <s v="South"/>
    <x v="0"/>
    <s v="teacher227@school.edu"/>
    <n v="9"/>
    <s v="No"/>
    <n v="0"/>
    <n v="1"/>
    <n v="49"/>
    <x v="2"/>
  </r>
  <r>
    <s v="T0228"/>
    <x v="8"/>
    <s v="Male"/>
    <n v="58"/>
    <s v="International School"/>
    <s v="Social Science"/>
    <x v="0"/>
    <s v="Professional Development"/>
    <x v="0"/>
    <d v="2024-06-03T00:00:00"/>
    <d v="2024-07-26T00:00:00"/>
    <x v="2"/>
    <n v="40"/>
    <m/>
    <s v="No"/>
    <n v="24"/>
    <s v="West"/>
    <x v="4"/>
    <s v="teacher228@school.edu"/>
    <n v="6"/>
    <s v="No"/>
    <n v="0"/>
    <n v="1"/>
    <n v="53"/>
    <x v="2"/>
  </r>
  <r>
    <s v="T0229"/>
    <x v="24"/>
    <s v="Female"/>
    <n v="25"/>
    <s v="Central School"/>
    <s v="English"/>
    <x v="4"/>
    <s v="Professional Development"/>
    <x v="2"/>
    <d v="2024-07-19T00:00:00"/>
    <d v="2024-08-29T00:00:00"/>
    <x v="2"/>
    <n v="0"/>
    <m/>
    <s v="No"/>
    <n v="42"/>
    <s v="South"/>
    <x v="4"/>
    <s v="teacher229@school.edu"/>
    <n v="18"/>
    <s v="No"/>
    <n v="0"/>
    <n v="1"/>
    <n v="41"/>
    <x v="1"/>
  </r>
  <r>
    <s v="T0230"/>
    <x v="15"/>
    <s v="Male"/>
    <n v="55"/>
    <s v="International School"/>
    <s v="Social Science"/>
    <x v="4"/>
    <s v="Pedagogy"/>
    <x v="2"/>
    <d v="2024-02-19T00:00:00"/>
    <d v="2024-03-25T00:00:00"/>
    <x v="1"/>
    <n v="57"/>
    <n v="66"/>
    <s v="Yes"/>
    <n v="12"/>
    <s v="East"/>
    <x v="2"/>
    <s v="teacher230@school.edu"/>
    <n v="31"/>
    <s v="Yes"/>
    <n v="1"/>
    <n v="1"/>
    <n v="35"/>
    <x v="3"/>
  </r>
  <r>
    <s v="T0231"/>
    <x v="11"/>
    <s v="Female"/>
    <n v="34"/>
    <s v="Public School"/>
    <s v="Social Science"/>
    <x v="0"/>
    <s v="Technology"/>
    <x v="2"/>
    <d v="2024-01-12T00:00:00"/>
    <d v="2024-03-06T00:00:00"/>
    <x v="1"/>
    <n v="64"/>
    <n v="52"/>
    <s v="Yes"/>
    <n v="47"/>
    <s v="South"/>
    <x v="3"/>
    <s v="teacher231@school.edu"/>
    <n v="12"/>
    <s v="Yes"/>
    <n v="1"/>
    <n v="1"/>
    <n v="54"/>
    <x v="1"/>
  </r>
  <r>
    <s v="T0232"/>
    <x v="16"/>
    <s v="Female"/>
    <n v="59"/>
    <s v="Govt High School"/>
    <s v="English"/>
    <x v="1"/>
    <s v="Professional Development"/>
    <x v="1"/>
    <d v="2024-09-24T00:00:00"/>
    <d v="2024-10-31T00:00:00"/>
    <x v="0"/>
    <n v="45"/>
    <m/>
    <s v="No"/>
    <n v="9"/>
    <s v="South"/>
    <x v="0"/>
    <s v="teacher232@school.edu"/>
    <n v="26"/>
    <s v="No"/>
    <n v="0"/>
    <n v="1"/>
    <n v="37"/>
    <x v="3"/>
  </r>
  <r>
    <s v="T0233"/>
    <x v="28"/>
    <s v="Male"/>
    <n v="47"/>
    <s v="Public School"/>
    <s v="Science"/>
    <x v="1"/>
    <s v="Technology"/>
    <x v="0"/>
    <d v="2024-08-27T00:00:00"/>
    <d v="2024-09-12T00:00:00"/>
    <x v="0"/>
    <n v="88"/>
    <m/>
    <s v="No"/>
    <n v="25"/>
    <s v="South"/>
    <x v="2"/>
    <s v="teacher233@school.edu"/>
    <n v="24"/>
    <s v="No"/>
    <n v="0"/>
    <n v="1"/>
    <n v="16"/>
    <x v="3"/>
  </r>
  <r>
    <s v="T0234"/>
    <x v="3"/>
    <s v="Male"/>
    <n v="59"/>
    <s v="International School"/>
    <s v="Maths"/>
    <x v="3"/>
    <s v="Professional Development"/>
    <x v="1"/>
    <d v="2024-10-11T00:00:00"/>
    <d v="2024-11-24T00:00:00"/>
    <x v="1"/>
    <n v="74"/>
    <n v="82"/>
    <s v="Yes"/>
    <n v="35"/>
    <s v="North"/>
    <x v="3"/>
    <s v="teacher234@school.edu"/>
    <n v="14"/>
    <s v="Yes"/>
    <n v="1"/>
    <n v="1"/>
    <n v="44"/>
    <x v="1"/>
  </r>
  <r>
    <s v="T0235"/>
    <x v="32"/>
    <s v="Female"/>
    <n v="55"/>
    <s v="International School"/>
    <s v="Science"/>
    <x v="0"/>
    <s v="Assessment"/>
    <x v="2"/>
    <d v="2024-03-22T00:00:00"/>
    <d v="2024-04-20T00:00:00"/>
    <x v="1"/>
    <n v="42"/>
    <n v="99"/>
    <s v="Yes"/>
    <n v="54"/>
    <s v="West"/>
    <x v="0"/>
    <s v="teacher235@school.edu"/>
    <n v="34"/>
    <s v="Yes"/>
    <n v="1"/>
    <n v="1"/>
    <n v="29"/>
    <x v="3"/>
  </r>
  <r>
    <s v="T0236"/>
    <x v="15"/>
    <s v="Female"/>
    <n v="48"/>
    <s v="Central School"/>
    <s v="Social Science"/>
    <x v="2"/>
    <s v="Professional Development"/>
    <x v="0"/>
    <d v="2024-09-20T00:00:00"/>
    <d v="2024-10-12T00:00:00"/>
    <x v="2"/>
    <n v="29"/>
    <m/>
    <s v="No"/>
    <n v="31"/>
    <s v="North"/>
    <x v="3"/>
    <s v="teacher236@school.edu"/>
    <n v="8"/>
    <s v="No"/>
    <n v="0"/>
    <n v="1"/>
    <n v="22"/>
    <x v="2"/>
  </r>
  <r>
    <s v="T0237"/>
    <x v="32"/>
    <s v="Female"/>
    <n v="49"/>
    <s v="International School"/>
    <s v="Social Science"/>
    <x v="3"/>
    <s v="Assessment"/>
    <x v="0"/>
    <d v="2024-10-01T00:00:00"/>
    <d v="2024-10-07T00:00:00"/>
    <x v="2"/>
    <n v="3"/>
    <m/>
    <s v="No"/>
    <n v="44"/>
    <s v="West"/>
    <x v="2"/>
    <s v="teacher237@school.edu"/>
    <n v="6"/>
    <s v="No"/>
    <n v="0"/>
    <n v="1"/>
    <n v="6"/>
    <x v="2"/>
  </r>
  <r>
    <s v="T0238"/>
    <x v="6"/>
    <s v="Female"/>
    <n v="36"/>
    <s v="Central School"/>
    <s v="Science"/>
    <x v="2"/>
    <s v="Professional Development"/>
    <x v="1"/>
    <d v="2024-08-16T00:00:00"/>
    <d v="2024-10-08T00:00:00"/>
    <x v="2"/>
    <n v="10"/>
    <m/>
    <s v="No"/>
    <n v="32"/>
    <s v="West"/>
    <x v="4"/>
    <s v="teacher238@school.edu"/>
    <n v="1"/>
    <s v="No"/>
    <n v="0"/>
    <n v="1"/>
    <n v="53"/>
    <x v="0"/>
  </r>
  <r>
    <s v="T0239"/>
    <x v="5"/>
    <s v="Male"/>
    <n v="29"/>
    <s v="International School"/>
    <s v="Science"/>
    <x v="2"/>
    <s v="Pedagogy"/>
    <x v="1"/>
    <d v="2024-07-21T00:00:00"/>
    <d v="2024-09-19T00:00:00"/>
    <x v="1"/>
    <n v="87"/>
    <n v="65"/>
    <s v="Yes"/>
    <n v="52"/>
    <s v="East"/>
    <x v="2"/>
    <s v="teacher239@school.edu"/>
    <n v="11"/>
    <s v="Yes"/>
    <n v="1"/>
    <n v="1"/>
    <n v="60"/>
    <x v="1"/>
  </r>
  <r>
    <s v="T0240"/>
    <x v="6"/>
    <s v="Male"/>
    <n v="56"/>
    <s v="Govt High School"/>
    <s v="Computer Science"/>
    <x v="2"/>
    <s v="Assessment"/>
    <x v="2"/>
    <d v="2024-03-16T00:00:00"/>
    <d v="2024-04-08T00:00:00"/>
    <x v="1"/>
    <n v="53"/>
    <n v="99"/>
    <s v="Yes"/>
    <n v="18"/>
    <s v="South"/>
    <x v="0"/>
    <s v="teacher240@school.edu"/>
    <n v="9"/>
    <s v="Yes"/>
    <n v="1"/>
    <n v="1"/>
    <n v="23"/>
    <x v="2"/>
  </r>
  <r>
    <s v="T0241"/>
    <x v="12"/>
    <s v="Female"/>
    <n v="25"/>
    <s v="International School"/>
    <s v="Computer Science"/>
    <x v="2"/>
    <s v="Technology"/>
    <x v="1"/>
    <d v="2024-07-25T00:00:00"/>
    <d v="2024-08-14T00:00:00"/>
    <x v="2"/>
    <n v="38"/>
    <m/>
    <s v="No"/>
    <n v="18"/>
    <s v="East"/>
    <x v="0"/>
    <s v="teacher241@school.edu"/>
    <n v="4"/>
    <s v="No"/>
    <n v="0"/>
    <n v="1"/>
    <n v="20"/>
    <x v="0"/>
  </r>
  <r>
    <s v="T0242"/>
    <x v="25"/>
    <s v="Female"/>
    <n v="31"/>
    <s v="International School"/>
    <s v="English"/>
    <x v="3"/>
    <s v="Pedagogy"/>
    <x v="1"/>
    <d v="2024-05-23T00:00:00"/>
    <d v="2024-06-30T00:00:00"/>
    <x v="0"/>
    <n v="70"/>
    <m/>
    <s v="No"/>
    <n v="19"/>
    <s v="West"/>
    <x v="2"/>
    <s v="teacher242@school.edu"/>
    <n v="19"/>
    <s v="No"/>
    <n v="0"/>
    <n v="1"/>
    <n v="38"/>
    <x v="1"/>
  </r>
  <r>
    <s v="T0243"/>
    <x v="0"/>
    <s v="Female"/>
    <n v="36"/>
    <s v="Central School"/>
    <s v="Science"/>
    <x v="4"/>
    <s v="Pedagogy"/>
    <x v="1"/>
    <d v="2024-04-18T00:00:00"/>
    <d v="2024-05-06T00:00:00"/>
    <x v="1"/>
    <n v="92"/>
    <n v="75"/>
    <s v="Yes"/>
    <n v="9"/>
    <s v="South"/>
    <x v="4"/>
    <s v="teacher243@school.edu"/>
    <n v="7"/>
    <s v="Yes"/>
    <n v="1"/>
    <n v="1"/>
    <n v="18"/>
    <x v="2"/>
  </r>
  <r>
    <s v="T0244"/>
    <x v="14"/>
    <s v="Female"/>
    <n v="41"/>
    <s v="Public School"/>
    <s v="Maths"/>
    <x v="3"/>
    <s v="Technology"/>
    <x v="1"/>
    <d v="2024-08-20T00:00:00"/>
    <d v="2024-08-31T00:00:00"/>
    <x v="0"/>
    <n v="73"/>
    <m/>
    <s v="No"/>
    <n v="28"/>
    <s v="South"/>
    <x v="1"/>
    <s v="teacher244@school.edu"/>
    <n v="33"/>
    <s v="No"/>
    <n v="0"/>
    <n v="1"/>
    <n v="11"/>
    <x v="3"/>
  </r>
  <r>
    <s v="T0245"/>
    <x v="26"/>
    <s v="Male"/>
    <n v="35"/>
    <s v="Central School"/>
    <s v="English"/>
    <x v="1"/>
    <s v="Assessment"/>
    <x v="2"/>
    <d v="2024-04-21T00:00:00"/>
    <d v="2024-05-02T00:00:00"/>
    <x v="1"/>
    <n v="53"/>
    <n v="93"/>
    <s v="Yes"/>
    <n v="49"/>
    <s v="East"/>
    <x v="0"/>
    <s v="teacher245@school.edu"/>
    <n v="6"/>
    <s v="Yes"/>
    <n v="1"/>
    <n v="1"/>
    <n v="11"/>
    <x v="2"/>
  </r>
  <r>
    <s v="T0246"/>
    <x v="26"/>
    <s v="Female"/>
    <n v="41"/>
    <s v="Govt High School"/>
    <s v="Social Science"/>
    <x v="0"/>
    <s v="Assessment"/>
    <x v="2"/>
    <d v="2024-07-07T00:00:00"/>
    <d v="2024-08-30T00:00:00"/>
    <x v="1"/>
    <n v="99"/>
    <n v="53"/>
    <s v="Yes"/>
    <n v="33"/>
    <s v="East"/>
    <x v="1"/>
    <s v="teacher246@school.edu"/>
    <n v="2"/>
    <s v="Yes"/>
    <n v="1"/>
    <n v="1"/>
    <n v="54"/>
    <x v="0"/>
  </r>
  <r>
    <s v="T0247"/>
    <x v="10"/>
    <s v="Male"/>
    <n v="38"/>
    <s v="International School"/>
    <s v="Social Science"/>
    <x v="3"/>
    <s v="Technology"/>
    <x v="2"/>
    <d v="2024-01-04T00:00:00"/>
    <d v="2024-02-17T00:00:00"/>
    <x v="1"/>
    <n v="59"/>
    <n v="74"/>
    <s v="Yes"/>
    <n v="52"/>
    <s v="West"/>
    <x v="0"/>
    <s v="teacher247@school.edu"/>
    <n v="16"/>
    <s v="Yes"/>
    <n v="1"/>
    <n v="1"/>
    <n v="44"/>
    <x v="1"/>
  </r>
  <r>
    <s v="T0248"/>
    <x v="4"/>
    <s v="Female"/>
    <n v="41"/>
    <s v="Govt High School"/>
    <s v="Computer Science"/>
    <x v="1"/>
    <s v="Assessment"/>
    <x v="0"/>
    <d v="2024-09-28T00:00:00"/>
    <d v="2024-11-22T00:00:00"/>
    <x v="0"/>
    <n v="72"/>
    <m/>
    <s v="No"/>
    <n v="28"/>
    <s v="North"/>
    <x v="4"/>
    <s v="teacher248@school.edu"/>
    <n v="4"/>
    <s v="No"/>
    <n v="0"/>
    <n v="1"/>
    <n v="55"/>
    <x v="0"/>
  </r>
  <r>
    <s v="T0249"/>
    <x v="38"/>
    <s v="Female"/>
    <n v="43"/>
    <s v="Central School"/>
    <s v="English"/>
    <x v="1"/>
    <s v="Pedagogy"/>
    <x v="1"/>
    <d v="2024-03-06T00:00:00"/>
    <d v="2024-03-24T00:00:00"/>
    <x v="0"/>
    <n v="72"/>
    <m/>
    <s v="No"/>
    <n v="16"/>
    <s v="North"/>
    <x v="4"/>
    <s v="teacher249@school.edu"/>
    <n v="12"/>
    <s v="No"/>
    <n v="0"/>
    <n v="1"/>
    <n v="18"/>
    <x v="1"/>
  </r>
  <r>
    <s v="T0250"/>
    <x v="34"/>
    <s v="Male"/>
    <n v="41"/>
    <s v="Govt High School"/>
    <s v="Computer Science"/>
    <x v="0"/>
    <s v="Pedagogy"/>
    <x v="0"/>
    <d v="2024-01-19T00:00:00"/>
    <d v="2024-03-03T00:00:00"/>
    <x v="1"/>
    <n v="49"/>
    <n v="80"/>
    <s v="Yes"/>
    <n v="21"/>
    <s v="North"/>
    <x v="3"/>
    <s v="teacher250@school.edu"/>
    <n v="9"/>
    <s v="Yes"/>
    <n v="1"/>
    <n v="1"/>
    <n v="44"/>
    <x v="2"/>
  </r>
  <r>
    <s v="T0251"/>
    <x v="13"/>
    <s v="Female"/>
    <n v="51"/>
    <s v="Govt High School"/>
    <s v="Social Science"/>
    <x v="3"/>
    <s v="Pedagogy"/>
    <x v="1"/>
    <d v="2024-08-09T00:00:00"/>
    <d v="2024-08-16T00:00:00"/>
    <x v="1"/>
    <n v="68"/>
    <n v="86"/>
    <s v="Yes"/>
    <n v="7"/>
    <s v="North"/>
    <x v="2"/>
    <s v="teacher251@school.edu"/>
    <n v="35"/>
    <s v="Yes"/>
    <n v="1"/>
    <n v="1"/>
    <n v="7"/>
    <x v="3"/>
  </r>
  <r>
    <s v="T0252"/>
    <x v="17"/>
    <s v="Female"/>
    <n v="44"/>
    <s v="Govt High School"/>
    <s v="Computer Science"/>
    <x v="0"/>
    <s v="Technology"/>
    <x v="0"/>
    <d v="2024-01-30T00:00:00"/>
    <d v="2024-02-16T00:00:00"/>
    <x v="0"/>
    <n v="93"/>
    <m/>
    <s v="No"/>
    <n v="45"/>
    <s v="East"/>
    <x v="2"/>
    <s v="teacher252@school.edu"/>
    <n v="19"/>
    <s v="No"/>
    <n v="0"/>
    <n v="1"/>
    <n v="17"/>
    <x v="1"/>
  </r>
  <r>
    <s v="T0253"/>
    <x v="23"/>
    <s v="Male"/>
    <n v="24"/>
    <s v="International School"/>
    <s v="Social Science"/>
    <x v="0"/>
    <s v="Technology"/>
    <x v="0"/>
    <d v="2024-09-04T00:00:00"/>
    <d v="2024-10-03T00:00:00"/>
    <x v="2"/>
    <n v="22"/>
    <m/>
    <s v="No"/>
    <n v="50"/>
    <s v="South"/>
    <x v="3"/>
    <s v="teacher253@school.edu"/>
    <n v="17"/>
    <s v="No"/>
    <n v="0"/>
    <n v="1"/>
    <n v="29"/>
    <x v="1"/>
  </r>
  <r>
    <s v="T0254"/>
    <x v="26"/>
    <s v="Male"/>
    <n v="46"/>
    <s v="International School"/>
    <s v="English"/>
    <x v="1"/>
    <s v="Professional Development"/>
    <x v="0"/>
    <d v="2024-01-04T00:00:00"/>
    <d v="2024-01-17T00:00:00"/>
    <x v="2"/>
    <n v="5"/>
    <m/>
    <s v="No"/>
    <n v="25"/>
    <s v="North"/>
    <x v="1"/>
    <s v="teacher254@school.edu"/>
    <n v="19"/>
    <s v="No"/>
    <n v="0"/>
    <n v="1"/>
    <n v="13"/>
    <x v="1"/>
  </r>
  <r>
    <s v="T0255"/>
    <x v="6"/>
    <s v="Male"/>
    <n v="53"/>
    <s v="Central School"/>
    <s v="Science"/>
    <x v="1"/>
    <s v="Pedagogy"/>
    <x v="2"/>
    <d v="2024-08-12T00:00:00"/>
    <d v="2024-09-02T00:00:00"/>
    <x v="0"/>
    <n v="66"/>
    <m/>
    <s v="No"/>
    <n v="12"/>
    <s v="South"/>
    <x v="2"/>
    <s v="teacher255@school.edu"/>
    <n v="3"/>
    <s v="No"/>
    <n v="0"/>
    <n v="1"/>
    <n v="21"/>
    <x v="0"/>
  </r>
  <r>
    <s v="T0256"/>
    <x v="5"/>
    <s v="Female"/>
    <n v="32"/>
    <s v="Public School"/>
    <s v="Computer Science"/>
    <x v="2"/>
    <s v="Technology"/>
    <x v="1"/>
    <d v="2024-03-11T00:00:00"/>
    <d v="2024-04-13T00:00:00"/>
    <x v="0"/>
    <n v="41"/>
    <m/>
    <s v="No"/>
    <n v="36"/>
    <s v="West"/>
    <x v="1"/>
    <s v="teacher256@school.edu"/>
    <n v="6"/>
    <s v="No"/>
    <n v="0"/>
    <n v="1"/>
    <n v="33"/>
    <x v="2"/>
  </r>
  <r>
    <s v="T0257"/>
    <x v="5"/>
    <s v="Female"/>
    <n v="25"/>
    <s v="Govt High School"/>
    <s v="English"/>
    <x v="0"/>
    <s v="Pedagogy"/>
    <x v="1"/>
    <d v="2024-01-16T00:00:00"/>
    <d v="2024-02-25T00:00:00"/>
    <x v="1"/>
    <n v="72"/>
    <n v="85"/>
    <s v="Yes"/>
    <n v="29"/>
    <s v="South"/>
    <x v="0"/>
    <s v="teacher257@school.edu"/>
    <n v="12"/>
    <s v="Yes"/>
    <n v="1"/>
    <n v="1"/>
    <n v="40"/>
    <x v="1"/>
  </r>
  <r>
    <s v="T0258"/>
    <x v="32"/>
    <s v="Female"/>
    <n v="46"/>
    <s v="International School"/>
    <s v="Science"/>
    <x v="0"/>
    <s v="Pedagogy"/>
    <x v="2"/>
    <d v="2024-02-20T00:00:00"/>
    <d v="2024-03-10T00:00:00"/>
    <x v="2"/>
    <n v="24"/>
    <m/>
    <s v="No"/>
    <n v="22"/>
    <s v="North"/>
    <x v="1"/>
    <s v="teacher258@school.edu"/>
    <n v="5"/>
    <s v="No"/>
    <n v="0"/>
    <n v="1"/>
    <n v="19"/>
    <x v="0"/>
  </r>
  <r>
    <s v="T0259"/>
    <x v="14"/>
    <s v="Male"/>
    <n v="34"/>
    <s v="Central School"/>
    <s v="Science"/>
    <x v="1"/>
    <s v="Pedagogy"/>
    <x v="2"/>
    <d v="2024-09-18T00:00:00"/>
    <d v="2024-11-02T00:00:00"/>
    <x v="0"/>
    <n v="85"/>
    <m/>
    <s v="No"/>
    <n v="29"/>
    <s v="North"/>
    <x v="2"/>
    <s v="teacher259@school.edu"/>
    <n v="22"/>
    <s v="No"/>
    <n v="0"/>
    <n v="1"/>
    <n v="45"/>
    <x v="3"/>
  </r>
  <r>
    <s v="T0260"/>
    <x v="1"/>
    <s v="Female"/>
    <n v="45"/>
    <s v="Public School"/>
    <s v="Maths"/>
    <x v="4"/>
    <s v="Technology"/>
    <x v="1"/>
    <d v="2024-07-11T00:00:00"/>
    <d v="2024-07-19T00:00:00"/>
    <x v="1"/>
    <n v="83"/>
    <n v="100"/>
    <s v="Yes"/>
    <n v="26"/>
    <s v="West"/>
    <x v="2"/>
    <s v="teacher260@school.edu"/>
    <n v="21"/>
    <s v="Yes"/>
    <n v="1"/>
    <n v="1"/>
    <n v="8"/>
    <x v="3"/>
  </r>
  <r>
    <s v="T0261"/>
    <x v="17"/>
    <s v="Female"/>
    <n v="32"/>
    <s v="International School"/>
    <s v="English"/>
    <x v="2"/>
    <s v="Pedagogy"/>
    <x v="1"/>
    <d v="2024-09-27T00:00:00"/>
    <d v="2024-11-23T00:00:00"/>
    <x v="0"/>
    <n v="50"/>
    <m/>
    <s v="No"/>
    <n v="48"/>
    <s v="East"/>
    <x v="2"/>
    <s v="teacher261@school.edu"/>
    <n v="8"/>
    <s v="No"/>
    <n v="0"/>
    <n v="1"/>
    <n v="57"/>
    <x v="2"/>
  </r>
  <r>
    <s v="T0262"/>
    <x v="24"/>
    <s v="Female"/>
    <n v="57"/>
    <s v="Govt High School"/>
    <s v="Computer Science"/>
    <x v="3"/>
    <s v="Assessment"/>
    <x v="0"/>
    <d v="2024-02-22T00:00:00"/>
    <d v="2024-04-22T00:00:00"/>
    <x v="0"/>
    <n v="47"/>
    <m/>
    <s v="No"/>
    <n v="40"/>
    <s v="West"/>
    <x v="3"/>
    <s v="teacher262@school.edu"/>
    <n v="30"/>
    <s v="No"/>
    <n v="0"/>
    <n v="1"/>
    <n v="60"/>
    <x v="3"/>
  </r>
  <r>
    <s v="T0263"/>
    <x v="36"/>
    <s v="Female"/>
    <n v="45"/>
    <s v="Govt High School"/>
    <s v="English"/>
    <x v="3"/>
    <s v="Technology"/>
    <x v="2"/>
    <d v="2024-07-24T00:00:00"/>
    <d v="2024-09-08T00:00:00"/>
    <x v="0"/>
    <n v="93"/>
    <m/>
    <s v="No"/>
    <n v="9"/>
    <s v="South"/>
    <x v="2"/>
    <s v="teacher263@school.edu"/>
    <n v="35"/>
    <s v="No"/>
    <n v="0"/>
    <n v="1"/>
    <n v="46"/>
    <x v="3"/>
  </r>
  <r>
    <s v="T0264"/>
    <x v="27"/>
    <s v="Male"/>
    <n v="38"/>
    <s v="Central School"/>
    <s v="Computer Science"/>
    <x v="4"/>
    <s v="Technology"/>
    <x v="0"/>
    <d v="2024-05-14T00:00:00"/>
    <d v="2024-06-03T00:00:00"/>
    <x v="0"/>
    <n v="67"/>
    <m/>
    <s v="No"/>
    <n v="25"/>
    <s v="West"/>
    <x v="3"/>
    <s v="teacher264@school.edu"/>
    <n v="31"/>
    <s v="No"/>
    <n v="0"/>
    <n v="1"/>
    <n v="20"/>
    <x v="3"/>
  </r>
  <r>
    <s v="T0265"/>
    <x v="35"/>
    <s v="Male"/>
    <n v="25"/>
    <s v="Govt High School"/>
    <s v="Maths"/>
    <x v="3"/>
    <s v="Technology"/>
    <x v="0"/>
    <d v="2024-04-15T00:00:00"/>
    <d v="2024-05-30T00:00:00"/>
    <x v="1"/>
    <n v="41"/>
    <n v="50"/>
    <s v="Yes"/>
    <n v="6"/>
    <s v="South"/>
    <x v="2"/>
    <s v="teacher265@school.edu"/>
    <n v="34"/>
    <s v="Yes"/>
    <n v="1"/>
    <n v="1"/>
    <n v="45"/>
    <x v="3"/>
  </r>
  <r>
    <s v="T0266"/>
    <x v="23"/>
    <s v="Female"/>
    <n v="60"/>
    <s v="Central School"/>
    <s v="Maths"/>
    <x v="3"/>
    <s v="Pedagogy"/>
    <x v="2"/>
    <d v="2024-10-17T00:00:00"/>
    <d v="2024-11-19T00:00:00"/>
    <x v="1"/>
    <n v="82"/>
    <n v="80"/>
    <s v="Yes"/>
    <n v="46"/>
    <s v="South"/>
    <x v="0"/>
    <s v="teacher266@school.edu"/>
    <n v="26"/>
    <s v="Yes"/>
    <n v="1"/>
    <n v="1"/>
    <n v="33"/>
    <x v="3"/>
  </r>
  <r>
    <s v="T0267"/>
    <x v="24"/>
    <s v="Male"/>
    <n v="47"/>
    <s v="Central School"/>
    <s v="English"/>
    <x v="4"/>
    <s v="Professional Development"/>
    <x v="2"/>
    <d v="2024-02-14T00:00:00"/>
    <d v="2024-03-09T00:00:00"/>
    <x v="2"/>
    <n v="22"/>
    <m/>
    <s v="No"/>
    <n v="54"/>
    <s v="North"/>
    <x v="3"/>
    <s v="teacher267@school.edu"/>
    <n v="1"/>
    <s v="No"/>
    <n v="0"/>
    <n v="1"/>
    <n v="24"/>
    <x v="0"/>
  </r>
  <r>
    <s v="T0268"/>
    <x v="22"/>
    <s v="Male"/>
    <n v="29"/>
    <s v="Govt High School"/>
    <s v="English"/>
    <x v="0"/>
    <s v="Technology"/>
    <x v="0"/>
    <d v="2024-06-30T00:00:00"/>
    <d v="2024-07-24T00:00:00"/>
    <x v="2"/>
    <n v="23"/>
    <m/>
    <s v="No"/>
    <n v="39"/>
    <s v="South"/>
    <x v="1"/>
    <s v="teacher268@school.edu"/>
    <n v="10"/>
    <s v="No"/>
    <n v="0"/>
    <n v="1"/>
    <n v="24"/>
    <x v="2"/>
  </r>
  <r>
    <s v="T0269"/>
    <x v="37"/>
    <s v="Male"/>
    <n v="30"/>
    <s v="Public School"/>
    <s v="Maths"/>
    <x v="3"/>
    <s v="Assessment"/>
    <x v="0"/>
    <d v="2024-05-14T00:00:00"/>
    <d v="2024-06-15T00:00:00"/>
    <x v="0"/>
    <n v="76"/>
    <m/>
    <s v="No"/>
    <n v="39"/>
    <s v="East"/>
    <x v="4"/>
    <s v="teacher269@school.edu"/>
    <n v="7"/>
    <s v="No"/>
    <n v="0"/>
    <n v="1"/>
    <n v="32"/>
    <x v="2"/>
  </r>
  <r>
    <s v="T0270"/>
    <x v="20"/>
    <s v="Female"/>
    <n v="44"/>
    <s v="Govt High School"/>
    <s v="Computer Science"/>
    <x v="0"/>
    <s v="Professional Development"/>
    <x v="2"/>
    <d v="2024-01-14T00:00:00"/>
    <d v="2024-02-24T00:00:00"/>
    <x v="0"/>
    <n v="73"/>
    <m/>
    <s v="No"/>
    <n v="56"/>
    <s v="East"/>
    <x v="3"/>
    <s v="teacher270@school.edu"/>
    <n v="14"/>
    <s v="No"/>
    <n v="0"/>
    <n v="1"/>
    <n v="41"/>
    <x v="1"/>
  </r>
  <r>
    <s v="T0271"/>
    <x v="4"/>
    <s v="Male"/>
    <n v="37"/>
    <s v="Central School"/>
    <s v="Maths"/>
    <x v="4"/>
    <s v="Assessment"/>
    <x v="2"/>
    <d v="2024-05-07T00:00:00"/>
    <d v="2024-05-30T00:00:00"/>
    <x v="1"/>
    <n v="58"/>
    <n v="68"/>
    <s v="Yes"/>
    <n v="18"/>
    <s v="East"/>
    <x v="2"/>
    <s v="teacher271@school.edu"/>
    <n v="11"/>
    <s v="Yes"/>
    <n v="1"/>
    <n v="1"/>
    <n v="23"/>
    <x v="1"/>
  </r>
  <r>
    <s v="T0272"/>
    <x v="35"/>
    <s v="Female"/>
    <n v="28"/>
    <s v="Central School"/>
    <s v="English"/>
    <x v="4"/>
    <s v="Professional Development"/>
    <x v="1"/>
    <d v="2024-09-28T00:00:00"/>
    <d v="2024-11-07T00:00:00"/>
    <x v="2"/>
    <n v="29"/>
    <m/>
    <s v="No"/>
    <n v="55"/>
    <s v="West"/>
    <x v="1"/>
    <s v="teacher272@school.edu"/>
    <n v="4"/>
    <s v="No"/>
    <n v="0"/>
    <n v="1"/>
    <n v="40"/>
    <x v="0"/>
  </r>
  <r>
    <s v="T0273"/>
    <x v="37"/>
    <s v="Male"/>
    <n v="59"/>
    <s v="Govt High School"/>
    <s v="Computer Science"/>
    <x v="1"/>
    <s v="Technology"/>
    <x v="2"/>
    <d v="2024-08-14T00:00:00"/>
    <d v="2024-09-07T00:00:00"/>
    <x v="1"/>
    <n v="88"/>
    <n v="76"/>
    <s v="Yes"/>
    <n v="53"/>
    <s v="West"/>
    <x v="3"/>
    <s v="teacher273@school.edu"/>
    <n v="23"/>
    <s v="Yes"/>
    <n v="1"/>
    <n v="1"/>
    <n v="24"/>
    <x v="3"/>
  </r>
  <r>
    <s v="T0274"/>
    <x v="12"/>
    <s v="Female"/>
    <n v="47"/>
    <s v="Central School"/>
    <s v="Computer Science"/>
    <x v="1"/>
    <s v="Technology"/>
    <x v="0"/>
    <d v="2024-05-24T00:00:00"/>
    <d v="2024-07-09T00:00:00"/>
    <x v="2"/>
    <n v="22"/>
    <m/>
    <s v="No"/>
    <n v="12"/>
    <s v="North"/>
    <x v="4"/>
    <s v="teacher274@school.edu"/>
    <n v="9"/>
    <s v="No"/>
    <n v="0"/>
    <n v="1"/>
    <n v="46"/>
    <x v="2"/>
  </r>
  <r>
    <s v="T0275"/>
    <x v="14"/>
    <s v="Male"/>
    <n v="44"/>
    <s v="Central School"/>
    <s v="Maths"/>
    <x v="2"/>
    <s v="Pedagogy"/>
    <x v="1"/>
    <d v="2024-03-02T00:00:00"/>
    <d v="2024-04-04T00:00:00"/>
    <x v="1"/>
    <n v="100"/>
    <n v="96"/>
    <s v="Yes"/>
    <n v="45"/>
    <s v="South"/>
    <x v="4"/>
    <s v="teacher275@school.edu"/>
    <n v="20"/>
    <s v="Yes"/>
    <n v="1"/>
    <n v="1"/>
    <n v="33"/>
    <x v="1"/>
  </r>
  <r>
    <s v="T0276"/>
    <x v="18"/>
    <s v="Male"/>
    <n v="23"/>
    <s v="Public School"/>
    <s v="Maths"/>
    <x v="2"/>
    <s v="Pedagogy"/>
    <x v="0"/>
    <d v="2024-07-22T00:00:00"/>
    <d v="2024-09-01T00:00:00"/>
    <x v="2"/>
    <n v="37"/>
    <m/>
    <s v="No"/>
    <n v="19"/>
    <s v="East"/>
    <x v="4"/>
    <s v="teacher276@school.edu"/>
    <n v="1"/>
    <s v="No"/>
    <n v="0"/>
    <n v="1"/>
    <n v="41"/>
    <x v="0"/>
  </r>
  <r>
    <s v="T0277"/>
    <x v="8"/>
    <s v="Female"/>
    <n v="39"/>
    <s v="International School"/>
    <s v="Social Science"/>
    <x v="2"/>
    <s v="Technology"/>
    <x v="1"/>
    <d v="2024-05-22T00:00:00"/>
    <d v="2024-06-30T00:00:00"/>
    <x v="2"/>
    <n v="11"/>
    <m/>
    <s v="No"/>
    <n v="52"/>
    <s v="South"/>
    <x v="4"/>
    <s v="teacher277@school.edu"/>
    <n v="20"/>
    <s v="No"/>
    <n v="0"/>
    <n v="1"/>
    <n v="39"/>
    <x v="1"/>
  </r>
  <r>
    <s v="T0278"/>
    <x v="9"/>
    <s v="Female"/>
    <n v="47"/>
    <s v="International School"/>
    <s v="English"/>
    <x v="3"/>
    <s v="Pedagogy"/>
    <x v="2"/>
    <d v="2024-02-13T00:00:00"/>
    <d v="2024-03-26T00:00:00"/>
    <x v="1"/>
    <n v="95"/>
    <n v="92"/>
    <s v="Yes"/>
    <n v="22"/>
    <s v="East"/>
    <x v="3"/>
    <s v="teacher278@school.edu"/>
    <n v="33"/>
    <s v="Yes"/>
    <n v="1"/>
    <n v="1"/>
    <n v="42"/>
    <x v="3"/>
  </r>
  <r>
    <s v="T0279"/>
    <x v="17"/>
    <s v="Female"/>
    <n v="57"/>
    <s v="Central School"/>
    <s v="English"/>
    <x v="0"/>
    <s v="Professional Development"/>
    <x v="1"/>
    <d v="2024-08-20T00:00:00"/>
    <d v="2024-09-21T00:00:00"/>
    <x v="0"/>
    <n v="93"/>
    <m/>
    <s v="No"/>
    <n v="7"/>
    <s v="West"/>
    <x v="1"/>
    <s v="teacher279@school.edu"/>
    <n v="4"/>
    <s v="No"/>
    <n v="0"/>
    <n v="1"/>
    <n v="32"/>
    <x v="0"/>
  </r>
  <r>
    <s v="T0280"/>
    <x v="8"/>
    <s v="Female"/>
    <n v="47"/>
    <s v="Public School"/>
    <s v="Science"/>
    <x v="4"/>
    <s v="Pedagogy"/>
    <x v="1"/>
    <d v="2024-09-08T00:00:00"/>
    <d v="2024-09-24T00:00:00"/>
    <x v="1"/>
    <n v="41"/>
    <n v="63"/>
    <s v="Yes"/>
    <n v="33"/>
    <s v="North"/>
    <x v="3"/>
    <s v="teacher280@school.edu"/>
    <n v="16"/>
    <s v="Yes"/>
    <n v="1"/>
    <n v="1"/>
    <n v="16"/>
    <x v="1"/>
  </r>
  <r>
    <s v="T0281"/>
    <x v="27"/>
    <s v="Male"/>
    <n v="55"/>
    <s v="Public School"/>
    <s v="Maths"/>
    <x v="4"/>
    <s v="Pedagogy"/>
    <x v="1"/>
    <d v="2024-04-28T00:00:00"/>
    <d v="2024-06-13T00:00:00"/>
    <x v="1"/>
    <n v="56"/>
    <n v="90"/>
    <s v="Yes"/>
    <n v="6"/>
    <s v="South"/>
    <x v="2"/>
    <s v="teacher281@school.edu"/>
    <n v="35"/>
    <s v="Yes"/>
    <n v="1"/>
    <n v="1"/>
    <n v="46"/>
    <x v="3"/>
  </r>
  <r>
    <s v="T0282"/>
    <x v="14"/>
    <s v="Male"/>
    <n v="44"/>
    <s v="International School"/>
    <s v="Social Science"/>
    <x v="2"/>
    <s v="Pedagogy"/>
    <x v="1"/>
    <d v="2024-04-03T00:00:00"/>
    <d v="2024-05-18T00:00:00"/>
    <x v="1"/>
    <n v="100"/>
    <n v="71"/>
    <s v="Yes"/>
    <n v="39"/>
    <s v="North"/>
    <x v="0"/>
    <s v="teacher282@school.edu"/>
    <n v="31"/>
    <s v="Yes"/>
    <n v="1"/>
    <n v="1"/>
    <n v="45"/>
    <x v="3"/>
  </r>
  <r>
    <s v="T0283"/>
    <x v="15"/>
    <s v="Female"/>
    <n v="25"/>
    <s v="Govt High School"/>
    <s v="Maths"/>
    <x v="1"/>
    <s v="Assessment"/>
    <x v="1"/>
    <d v="2024-02-08T00:00:00"/>
    <d v="2024-02-24T00:00:00"/>
    <x v="1"/>
    <n v="41"/>
    <n v="84"/>
    <s v="Yes"/>
    <n v="12"/>
    <s v="South"/>
    <x v="0"/>
    <s v="teacher283@school.edu"/>
    <n v="27"/>
    <s v="Yes"/>
    <n v="1"/>
    <n v="1"/>
    <n v="16"/>
    <x v="3"/>
  </r>
  <r>
    <s v="T0284"/>
    <x v="27"/>
    <s v="Female"/>
    <n v="53"/>
    <s v="Public School"/>
    <s v="Social Science"/>
    <x v="0"/>
    <s v="Technology"/>
    <x v="1"/>
    <d v="2024-02-24T00:00:00"/>
    <d v="2024-04-01T00:00:00"/>
    <x v="1"/>
    <n v="52"/>
    <n v="50"/>
    <s v="Yes"/>
    <n v="6"/>
    <s v="West"/>
    <x v="1"/>
    <s v="teacher284@school.edu"/>
    <n v="16"/>
    <s v="Yes"/>
    <n v="1"/>
    <n v="1"/>
    <n v="37"/>
    <x v="1"/>
  </r>
  <r>
    <s v="T0285"/>
    <x v="18"/>
    <s v="Female"/>
    <n v="28"/>
    <s v="International School"/>
    <s v="Computer Science"/>
    <x v="0"/>
    <s v="Assessment"/>
    <x v="0"/>
    <d v="2024-02-13T00:00:00"/>
    <d v="2024-04-07T00:00:00"/>
    <x v="2"/>
    <n v="8"/>
    <m/>
    <s v="No"/>
    <n v="11"/>
    <s v="East"/>
    <x v="4"/>
    <s v="teacher285@school.edu"/>
    <n v="6"/>
    <s v="No"/>
    <n v="0"/>
    <n v="1"/>
    <n v="54"/>
    <x v="2"/>
  </r>
  <r>
    <s v="T0286"/>
    <x v="3"/>
    <s v="Male"/>
    <n v="40"/>
    <s v="Govt High School"/>
    <s v="Social Science"/>
    <x v="4"/>
    <s v="Technology"/>
    <x v="0"/>
    <d v="2024-09-16T00:00:00"/>
    <d v="2024-10-22T00:00:00"/>
    <x v="1"/>
    <n v="57"/>
    <n v="60"/>
    <s v="Yes"/>
    <n v="8"/>
    <s v="North"/>
    <x v="0"/>
    <s v="teacher286@school.edu"/>
    <n v="2"/>
    <s v="Yes"/>
    <n v="1"/>
    <n v="1"/>
    <n v="36"/>
    <x v="0"/>
  </r>
  <r>
    <s v="T0287"/>
    <x v="14"/>
    <s v="Male"/>
    <n v="49"/>
    <s v="Govt High School"/>
    <s v="English"/>
    <x v="0"/>
    <s v="Assessment"/>
    <x v="0"/>
    <d v="2024-10-23T00:00:00"/>
    <d v="2024-11-13T00:00:00"/>
    <x v="0"/>
    <n v="98"/>
    <m/>
    <s v="No"/>
    <n v="16"/>
    <s v="East"/>
    <x v="4"/>
    <s v="teacher287@school.edu"/>
    <n v="5"/>
    <s v="No"/>
    <n v="0"/>
    <n v="1"/>
    <n v="21"/>
    <x v="0"/>
  </r>
  <r>
    <s v="T0288"/>
    <x v="18"/>
    <s v="Male"/>
    <n v="23"/>
    <s v="Public School"/>
    <s v="English"/>
    <x v="0"/>
    <s v="Pedagogy"/>
    <x v="2"/>
    <d v="2024-07-07T00:00:00"/>
    <d v="2024-08-08T00:00:00"/>
    <x v="0"/>
    <n v="76"/>
    <m/>
    <s v="No"/>
    <n v="21"/>
    <s v="West"/>
    <x v="0"/>
    <s v="teacher288@school.edu"/>
    <n v="32"/>
    <s v="No"/>
    <n v="0"/>
    <n v="1"/>
    <n v="32"/>
    <x v="3"/>
  </r>
  <r>
    <s v="T0289"/>
    <x v="18"/>
    <s v="Male"/>
    <n v="39"/>
    <s v="Central School"/>
    <s v="Maths"/>
    <x v="4"/>
    <s v="Technology"/>
    <x v="1"/>
    <d v="2024-03-17T00:00:00"/>
    <d v="2024-04-13T00:00:00"/>
    <x v="1"/>
    <n v="76"/>
    <n v="86"/>
    <s v="Yes"/>
    <n v="11"/>
    <s v="North"/>
    <x v="3"/>
    <s v="teacher289@school.edu"/>
    <n v="30"/>
    <s v="Yes"/>
    <n v="1"/>
    <n v="1"/>
    <n v="27"/>
    <x v="3"/>
  </r>
  <r>
    <s v="T0290"/>
    <x v="27"/>
    <s v="Male"/>
    <n v="57"/>
    <s v="Public School"/>
    <s v="Science"/>
    <x v="2"/>
    <s v="Professional Development"/>
    <x v="0"/>
    <d v="2024-04-25T00:00:00"/>
    <d v="2024-06-05T00:00:00"/>
    <x v="0"/>
    <n v="66"/>
    <m/>
    <s v="No"/>
    <n v="37"/>
    <s v="North"/>
    <x v="0"/>
    <s v="teacher290@school.edu"/>
    <n v="29"/>
    <s v="No"/>
    <n v="0"/>
    <n v="1"/>
    <n v="41"/>
    <x v="3"/>
  </r>
  <r>
    <s v="T0291"/>
    <x v="25"/>
    <s v="Male"/>
    <n v="28"/>
    <s v="Public School"/>
    <s v="Science"/>
    <x v="3"/>
    <s v="Pedagogy"/>
    <x v="1"/>
    <d v="2024-08-02T00:00:00"/>
    <d v="2024-09-04T00:00:00"/>
    <x v="2"/>
    <n v="0"/>
    <m/>
    <s v="No"/>
    <n v="19"/>
    <s v="North"/>
    <x v="3"/>
    <s v="teacher291@school.edu"/>
    <n v="27"/>
    <s v="No"/>
    <n v="0"/>
    <n v="1"/>
    <n v="33"/>
    <x v="3"/>
  </r>
  <r>
    <s v="T0292"/>
    <x v="29"/>
    <s v="Female"/>
    <n v="33"/>
    <s v="Central School"/>
    <s v="English"/>
    <x v="0"/>
    <s v="Assessment"/>
    <x v="0"/>
    <d v="2024-08-01T00:00:00"/>
    <d v="2024-08-30T00:00:00"/>
    <x v="0"/>
    <n v="50"/>
    <m/>
    <s v="No"/>
    <n v="42"/>
    <s v="East"/>
    <x v="1"/>
    <s v="teacher292@school.edu"/>
    <n v="29"/>
    <s v="No"/>
    <n v="0"/>
    <n v="1"/>
    <n v="29"/>
    <x v="3"/>
  </r>
  <r>
    <s v="T0293"/>
    <x v="17"/>
    <s v="Female"/>
    <n v="57"/>
    <s v="Central School"/>
    <s v="Maths"/>
    <x v="0"/>
    <s v="Professional Development"/>
    <x v="1"/>
    <d v="2024-08-01T00:00:00"/>
    <d v="2024-08-14T00:00:00"/>
    <x v="0"/>
    <n v="76"/>
    <m/>
    <s v="No"/>
    <n v="21"/>
    <s v="North"/>
    <x v="0"/>
    <s v="teacher293@school.edu"/>
    <n v="9"/>
    <s v="No"/>
    <n v="0"/>
    <n v="1"/>
    <n v="13"/>
    <x v="2"/>
  </r>
  <r>
    <s v="T0294"/>
    <x v="11"/>
    <s v="Female"/>
    <n v="36"/>
    <s v="Central School"/>
    <s v="English"/>
    <x v="1"/>
    <s v="Professional Development"/>
    <x v="2"/>
    <d v="2024-09-05T00:00:00"/>
    <d v="2024-09-24T00:00:00"/>
    <x v="2"/>
    <n v="21"/>
    <m/>
    <s v="No"/>
    <n v="8"/>
    <s v="East"/>
    <x v="4"/>
    <s v="teacher294@school.edu"/>
    <n v="27"/>
    <s v="No"/>
    <n v="0"/>
    <n v="1"/>
    <n v="19"/>
    <x v="3"/>
  </r>
  <r>
    <s v="T0295"/>
    <x v="36"/>
    <s v="Female"/>
    <n v="31"/>
    <s v="International School"/>
    <s v="Computer Science"/>
    <x v="2"/>
    <s v="Assessment"/>
    <x v="0"/>
    <d v="2024-08-06T00:00:00"/>
    <d v="2024-08-20T00:00:00"/>
    <x v="0"/>
    <n v="81"/>
    <m/>
    <s v="No"/>
    <n v="15"/>
    <s v="North"/>
    <x v="2"/>
    <s v="teacher295@school.edu"/>
    <n v="28"/>
    <s v="No"/>
    <n v="0"/>
    <n v="1"/>
    <n v="14"/>
    <x v="3"/>
  </r>
  <r>
    <s v="T0296"/>
    <x v="18"/>
    <s v="Male"/>
    <n v="57"/>
    <s v="Central School"/>
    <s v="English"/>
    <x v="2"/>
    <s v="Professional Development"/>
    <x v="0"/>
    <d v="2024-02-25T00:00:00"/>
    <d v="2024-03-03T00:00:00"/>
    <x v="2"/>
    <n v="31"/>
    <m/>
    <s v="No"/>
    <n v="35"/>
    <s v="North"/>
    <x v="3"/>
    <s v="teacher296@school.edu"/>
    <n v="23"/>
    <s v="No"/>
    <n v="0"/>
    <n v="1"/>
    <n v="7"/>
    <x v="3"/>
  </r>
  <r>
    <s v="T0297"/>
    <x v="8"/>
    <s v="Female"/>
    <n v="57"/>
    <s v="Govt High School"/>
    <s v="Science"/>
    <x v="4"/>
    <s v="Technology"/>
    <x v="0"/>
    <d v="2024-08-17T00:00:00"/>
    <d v="2024-09-14T00:00:00"/>
    <x v="1"/>
    <n v="78"/>
    <n v="86"/>
    <s v="Yes"/>
    <n v="56"/>
    <s v="East"/>
    <x v="0"/>
    <s v="teacher297@school.edu"/>
    <n v="13"/>
    <s v="Yes"/>
    <n v="1"/>
    <n v="1"/>
    <n v="28"/>
    <x v="1"/>
  </r>
  <r>
    <s v="T0298"/>
    <x v="0"/>
    <s v="Male"/>
    <n v="22"/>
    <s v="Public School"/>
    <s v="Social Science"/>
    <x v="1"/>
    <s v="Pedagogy"/>
    <x v="1"/>
    <d v="2024-01-16T00:00:00"/>
    <d v="2024-03-10T00:00:00"/>
    <x v="2"/>
    <n v="38"/>
    <m/>
    <s v="No"/>
    <n v="26"/>
    <s v="East"/>
    <x v="2"/>
    <s v="teacher298@school.edu"/>
    <n v="23"/>
    <s v="No"/>
    <n v="0"/>
    <n v="1"/>
    <n v="54"/>
    <x v="3"/>
  </r>
  <r>
    <s v="T0299"/>
    <x v="20"/>
    <s v="Male"/>
    <n v="46"/>
    <s v="Public School"/>
    <s v="English"/>
    <x v="1"/>
    <s v="Professional Development"/>
    <x v="2"/>
    <d v="2024-03-15T00:00:00"/>
    <d v="2024-04-21T00:00:00"/>
    <x v="2"/>
    <n v="11"/>
    <m/>
    <s v="No"/>
    <n v="11"/>
    <s v="North"/>
    <x v="4"/>
    <s v="teacher299@school.edu"/>
    <n v="19"/>
    <s v="No"/>
    <n v="0"/>
    <n v="1"/>
    <n v="37"/>
    <x v="1"/>
  </r>
  <r>
    <s v="T0300"/>
    <x v="37"/>
    <s v="Female"/>
    <n v="46"/>
    <s v="Public School"/>
    <s v="Computer Science"/>
    <x v="0"/>
    <s v="Technology"/>
    <x v="0"/>
    <d v="2024-05-02T00:00:00"/>
    <d v="2024-05-18T00:00:00"/>
    <x v="1"/>
    <n v="79"/>
    <n v="70"/>
    <s v="Yes"/>
    <n v="28"/>
    <s v="South"/>
    <x v="1"/>
    <s v="teacher300@school.edu"/>
    <n v="29"/>
    <s v="Yes"/>
    <n v="1"/>
    <n v="1"/>
    <n v="16"/>
    <x v="3"/>
  </r>
  <r>
    <s v="T0301"/>
    <x v="36"/>
    <s v="Female"/>
    <n v="26"/>
    <s v="Public School"/>
    <s v="English"/>
    <x v="0"/>
    <s v="Technology"/>
    <x v="2"/>
    <d v="2024-04-26T00:00:00"/>
    <d v="2024-05-19T00:00:00"/>
    <x v="2"/>
    <n v="16"/>
    <m/>
    <s v="No"/>
    <n v="10"/>
    <s v="South"/>
    <x v="4"/>
    <s v="teacher301@school.edu"/>
    <n v="11"/>
    <s v="No"/>
    <n v="0"/>
    <n v="1"/>
    <n v="23"/>
    <x v="1"/>
  </r>
  <r>
    <s v="T0302"/>
    <x v="12"/>
    <s v="Female"/>
    <n v="27"/>
    <s v="Govt High School"/>
    <s v="Maths"/>
    <x v="1"/>
    <s v="Technology"/>
    <x v="2"/>
    <d v="2024-03-11T00:00:00"/>
    <d v="2024-05-03T00:00:00"/>
    <x v="0"/>
    <n v="49"/>
    <m/>
    <s v="No"/>
    <n v="41"/>
    <s v="East"/>
    <x v="1"/>
    <s v="teacher302@school.edu"/>
    <n v="10"/>
    <s v="No"/>
    <n v="0"/>
    <n v="1"/>
    <n v="53"/>
    <x v="2"/>
  </r>
  <r>
    <s v="T0303"/>
    <x v="18"/>
    <s v="Male"/>
    <n v="34"/>
    <s v="International School"/>
    <s v="Science"/>
    <x v="4"/>
    <s v="Assessment"/>
    <x v="1"/>
    <d v="2024-07-26T00:00:00"/>
    <d v="2024-09-23T00:00:00"/>
    <x v="2"/>
    <n v="38"/>
    <m/>
    <s v="No"/>
    <n v="48"/>
    <s v="South"/>
    <x v="2"/>
    <s v="teacher303@school.edu"/>
    <n v="30"/>
    <s v="No"/>
    <n v="0"/>
    <n v="1"/>
    <n v="59"/>
    <x v="3"/>
  </r>
  <r>
    <s v="T0304"/>
    <x v="7"/>
    <s v="Male"/>
    <n v="25"/>
    <s v="Govt High School"/>
    <s v="Social Science"/>
    <x v="3"/>
    <s v="Assessment"/>
    <x v="2"/>
    <d v="2024-05-02T00:00:00"/>
    <d v="2024-05-15T00:00:00"/>
    <x v="2"/>
    <n v="16"/>
    <m/>
    <s v="No"/>
    <n v="49"/>
    <s v="East"/>
    <x v="2"/>
    <s v="teacher304@school.edu"/>
    <n v="9"/>
    <s v="No"/>
    <n v="0"/>
    <n v="1"/>
    <n v="13"/>
    <x v="2"/>
  </r>
  <r>
    <s v="T0305"/>
    <x v="23"/>
    <s v="Male"/>
    <n v="27"/>
    <s v="International School"/>
    <s v="Social Science"/>
    <x v="1"/>
    <s v="Pedagogy"/>
    <x v="0"/>
    <d v="2024-06-29T00:00:00"/>
    <d v="2024-08-13T00:00:00"/>
    <x v="1"/>
    <n v="46"/>
    <n v="56"/>
    <s v="Yes"/>
    <n v="19"/>
    <s v="East"/>
    <x v="1"/>
    <s v="teacher305@school.edu"/>
    <n v="35"/>
    <s v="Yes"/>
    <n v="1"/>
    <n v="1"/>
    <n v="45"/>
    <x v="3"/>
  </r>
  <r>
    <s v="T0306"/>
    <x v="22"/>
    <s v="Male"/>
    <n v="44"/>
    <s v="Central School"/>
    <s v="Science"/>
    <x v="0"/>
    <s v="Assessment"/>
    <x v="1"/>
    <d v="2024-01-05T00:00:00"/>
    <d v="2024-01-14T00:00:00"/>
    <x v="1"/>
    <n v="69"/>
    <n v="91"/>
    <s v="Yes"/>
    <n v="28"/>
    <s v="West"/>
    <x v="0"/>
    <s v="teacher306@school.edu"/>
    <n v="13"/>
    <s v="Yes"/>
    <n v="1"/>
    <n v="1"/>
    <n v="9"/>
    <x v="1"/>
  </r>
  <r>
    <s v="T0307"/>
    <x v="38"/>
    <s v="Male"/>
    <n v="27"/>
    <s v="Central School"/>
    <s v="English"/>
    <x v="2"/>
    <s v="Technology"/>
    <x v="2"/>
    <d v="2024-06-29T00:00:00"/>
    <d v="2024-08-13T00:00:00"/>
    <x v="0"/>
    <n v="97"/>
    <m/>
    <s v="No"/>
    <n v="53"/>
    <s v="North"/>
    <x v="0"/>
    <s v="teacher307@school.edu"/>
    <n v="27"/>
    <s v="No"/>
    <n v="0"/>
    <n v="1"/>
    <n v="45"/>
    <x v="3"/>
  </r>
  <r>
    <s v="T0308"/>
    <x v="27"/>
    <s v="Male"/>
    <n v="29"/>
    <s v="International School"/>
    <s v="Computer Science"/>
    <x v="2"/>
    <s v="Assessment"/>
    <x v="2"/>
    <d v="2024-05-04T00:00:00"/>
    <d v="2024-05-17T00:00:00"/>
    <x v="2"/>
    <n v="3"/>
    <m/>
    <s v="No"/>
    <n v="30"/>
    <s v="East"/>
    <x v="1"/>
    <s v="teacher308@school.edu"/>
    <n v="1"/>
    <s v="No"/>
    <n v="0"/>
    <n v="1"/>
    <n v="13"/>
    <x v="0"/>
  </r>
  <r>
    <s v="T0309"/>
    <x v="11"/>
    <s v="Female"/>
    <n v="42"/>
    <s v="Public School"/>
    <s v="English"/>
    <x v="3"/>
    <s v="Professional Development"/>
    <x v="0"/>
    <d v="2024-05-06T00:00:00"/>
    <d v="2024-05-16T00:00:00"/>
    <x v="2"/>
    <n v="27"/>
    <m/>
    <s v="No"/>
    <n v="31"/>
    <s v="East"/>
    <x v="0"/>
    <s v="teacher309@school.edu"/>
    <n v="14"/>
    <s v="No"/>
    <n v="0"/>
    <n v="1"/>
    <n v="10"/>
    <x v="1"/>
  </r>
  <r>
    <s v="T0310"/>
    <x v="35"/>
    <s v="Female"/>
    <n v="27"/>
    <s v="Central School"/>
    <s v="Computer Science"/>
    <x v="2"/>
    <s v="Professional Development"/>
    <x v="1"/>
    <d v="2024-10-14T00:00:00"/>
    <d v="2024-12-05T00:00:00"/>
    <x v="1"/>
    <n v="85"/>
    <n v="53"/>
    <s v="Yes"/>
    <n v="46"/>
    <s v="North"/>
    <x v="2"/>
    <s v="teacher310@school.edu"/>
    <n v="8"/>
    <s v="Yes"/>
    <n v="1"/>
    <n v="1"/>
    <n v="52"/>
    <x v="2"/>
  </r>
  <r>
    <s v="T0311"/>
    <x v="36"/>
    <s v="Male"/>
    <n v="29"/>
    <s v="International School"/>
    <s v="English"/>
    <x v="4"/>
    <s v="Professional Development"/>
    <x v="1"/>
    <d v="2024-02-06T00:00:00"/>
    <d v="2024-03-12T00:00:00"/>
    <x v="2"/>
    <n v="34"/>
    <m/>
    <s v="No"/>
    <n v="23"/>
    <s v="East"/>
    <x v="4"/>
    <s v="teacher311@school.edu"/>
    <n v="14"/>
    <s v="No"/>
    <n v="0"/>
    <n v="1"/>
    <n v="35"/>
    <x v="1"/>
  </r>
  <r>
    <s v="T0312"/>
    <x v="11"/>
    <s v="Female"/>
    <n v="43"/>
    <s v="Central School"/>
    <s v="Computer Science"/>
    <x v="3"/>
    <s v="Technology"/>
    <x v="2"/>
    <d v="2024-03-10T00:00:00"/>
    <d v="2024-05-04T00:00:00"/>
    <x v="1"/>
    <n v="80"/>
    <n v="53"/>
    <s v="Yes"/>
    <n v="47"/>
    <s v="West"/>
    <x v="2"/>
    <s v="teacher312@school.edu"/>
    <n v="34"/>
    <s v="Yes"/>
    <n v="1"/>
    <n v="1"/>
    <n v="55"/>
    <x v="3"/>
  </r>
  <r>
    <s v="T0313"/>
    <x v="30"/>
    <s v="Female"/>
    <n v="24"/>
    <s v="Public School"/>
    <s v="Social Science"/>
    <x v="1"/>
    <s v="Assessment"/>
    <x v="0"/>
    <d v="2024-09-20T00:00:00"/>
    <d v="2024-11-17T00:00:00"/>
    <x v="1"/>
    <n v="75"/>
    <n v="80"/>
    <s v="Yes"/>
    <n v="36"/>
    <s v="North"/>
    <x v="0"/>
    <s v="teacher313@school.edu"/>
    <n v="14"/>
    <s v="Yes"/>
    <n v="1"/>
    <n v="1"/>
    <n v="58"/>
    <x v="1"/>
  </r>
  <r>
    <s v="T0314"/>
    <x v="32"/>
    <s v="Male"/>
    <n v="43"/>
    <s v="Govt High School"/>
    <s v="English"/>
    <x v="4"/>
    <s v="Pedagogy"/>
    <x v="2"/>
    <d v="2024-08-23T00:00:00"/>
    <d v="2024-09-24T00:00:00"/>
    <x v="2"/>
    <n v="15"/>
    <m/>
    <s v="No"/>
    <n v="14"/>
    <s v="North"/>
    <x v="2"/>
    <s v="teacher314@school.edu"/>
    <n v="7"/>
    <s v="No"/>
    <n v="0"/>
    <n v="1"/>
    <n v="32"/>
    <x v="2"/>
  </r>
  <r>
    <s v="T0315"/>
    <x v="22"/>
    <s v="Female"/>
    <n v="44"/>
    <s v="International School"/>
    <s v="Maths"/>
    <x v="1"/>
    <s v="Professional Development"/>
    <x v="0"/>
    <d v="2024-06-25T00:00:00"/>
    <d v="2024-07-18T00:00:00"/>
    <x v="0"/>
    <n v="94"/>
    <m/>
    <s v="No"/>
    <n v="20"/>
    <s v="North"/>
    <x v="3"/>
    <s v="teacher315@school.edu"/>
    <n v="18"/>
    <s v="No"/>
    <n v="0"/>
    <n v="1"/>
    <n v="23"/>
    <x v="1"/>
  </r>
  <r>
    <s v="T0316"/>
    <x v="6"/>
    <s v="Male"/>
    <n v="44"/>
    <s v="Central School"/>
    <s v="Social Science"/>
    <x v="3"/>
    <s v="Technology"/>
    <x v="1"/>
    <d v="2024-10-10T00:00:00"/>
    <d v="2024-10-18T00:00:00"/>
    <x v="0"/>
    <n v="50"/>
    <m/>
    <s v="No"/>
    <n v="20"/>
    <s v="South"/>
    <x v="4"/>
    <s v="teacher316@school.edu"/>
    <n v="18"/>
    <s v="No"/>
    <n v="0"/>
    <n v="1"/>
    <n v="8"/>
    <x v="1"/>
  </r>
  <r>
    <s v="T0317"/>
    <x v="15"/>
    <s v="Male"/>
    <n v="36"/>
    <s v="Govt High School"/>
    <s v="Social Science"/>
    <x v="1"/>
    <s v="Technology"/>
    <x v="1"/>
    <d v="2024-05-29T00:00:00"/>
    <d v="2024-06-29T00:00:00"/>
    <x v="2"/>
    <n v="25"/>
    <m/>
    <s v="No"/>
    <n v="26"/>
    <s v="West"/>
    <x v="1"/>
    <s v="teacher317@school.edu"/>
    <n v="7"/>
    <s v="No"/>
    <n v="0"/>
    <n v="1"/>
    <n v="31"/>
    <x v="2"/>
  </r>
  <r>
    <s v="T0318"/>
    <x v="0"/>
    <s v="Female"/>
    <n v="51"/>
    <s v="Govt High School"/>
    <s v="Science"/>
    <x v="1"/>
    <s v="Pedagogy"/>
    <x v="1"/>
    <d v="2024-09-23T00:00:00"/>
    <d v="2024-11-03T00:00:00"/>
    <x v="0"/>
    <n v="49"/>
    <m/>
    <s v="No"/>
    <n v="57"/>
    <s v="South"/>
    <x v="3"/>
    <s v="teacher318@school.edu"/>
    <n v="20"/>
    <s v="No"/>
    <n v="0"/>
    <n v="1"/>
    <n v="41"/>
    <x v="1"/>
  </r>
  <r>
    <s v="T0319"/>
    <x v="23"/>
    <s v="Male"/>
    <n v="51"/>
    <s v="Public School"/>
    <s v="English"/>
    <x v="0"/>
    <s v="Assessment"/>
    <x v="1"/>
    <d v="2024-03-09T00:00:00"/>
    <d v="2024-04-27T00:00:00"/>
    <x v="0"/>
    <n v="59"/>
    <m/>
    <s v="No"/>
    <n v="42"/>
    <s v="West"/>
    <x v="0"/>
    <s v="teacher319@school.edu"/>
    <n v="33"/>
    <s v="No"/>
    <n v="0"/>
    <n v="1"/>
    <n v="49"/>
    <x v="3"/>
  </r>
  <r>
    <s v="T0320"/>
    <x v="10"/>
    <s v="Male"/>
    <n v="24"/>
    <s v="Public School"/>
    <s v="English"/>
    <x v="0"/>
    <s v="Pedagogy"/>
    <x v="0"/>
    <d v="2024-08-26T00:00:00"/>
    <d v="2024-10-15T00:00:00"/>
    <x v="2"/>
    <n v="24"/>
    <m/>
    <s v="No"/>
    <n v="35"/>
    <s v="West"/>
    <x v="2"/>
    <s v="teacher320@school.edu"/>
    <n v="32"/>
    <s v="No"/>
    <n v="0"/>
    <n v="1"/>
    <n v="50"/>
    <x v="3"/>
  </r>
  <r>
    <s v="T0321"/>
    <x v="33"/>
    <s v="Female"/>
    <n v="48"/>
    <s v="Central School"/>
    <s v="Social Science"/>
    <x v="4"/>
    <s v="Technology"/>
    <x v="0"/>
    <d v="2024-04-06T00:00:00"/>
    <d v="2024-05-17T00:00:00"/>
    <x v="1"/>
    <n v="88"/>
    <n v="68"/>
    <s v="Yes"/>
    <n v="26"/>
    <s v="East"/>
    <x v="2"/>
    <s v="teacher321@school.edu"/>
    <n v="15"/>
    <s v="Yes"/>
    <n v="1"/>
    <n v="1"/>
    <n v="41"/>
    <x v="1"/>
  </r>
  <r>
    <s v="T0322"/>
    <x v="8"/>
    <s v="Male"/>
    <n v="43"/>
    <s v="Public School"/>
    <s v="Social Science"/>
    <x v="3"/>
    <s v="Pedagogy"/>
    <x v="0"/>
    <d v="2024-07-16T00:00:00"/>
    <d v="2024-09-13T00:00:00"/>
    <x v="2"/>
    <n v="8"/>
    <m/>
    <s v="No"/>
    <n v="36"/>
    <s v="South"/>
    <x v="4"/>
    <s v="teacher322@school.edu"/>
    <n v="24"/>
    <s v="No"/>
    <n v="0"/>
    <n v="1"/>
    <n v="59"/>
    <x v="3"/>
  </r>
  <r>
    <s v="T0323"/>
    <x v="25"/>
    <s v="Male"/>
    <n v="55"/>
    <s v="Central School"/>
    <s v="Maths"/>
    <x v="1"/>
    <s v="Assessment"/>
    <x v="2"/>
    <d v="2024-01-01T00:00:00"/>
    <d v="2024-02-11T00:00:00"/>
    <x v="2"/>
    <n v="27"/>
    <m/>
    <s v="No"/>
    <n v="12"/>
    <s v="South"/>
    <x v="1"/>
    <s v="teacher323@school.edu"/>
    <n v="17"/>
    <s v="No"/>
    <n v="0"/>
    <n v="1"/>
    <n v="41"/>
    <x v="1"/>
  </r>
  <r>
    <s v="T0324"/>
    <x v="21"/>
    <s v="Female"/>
    <n v="46"/>
    <s v="International School"/>
    <s v="Social Science"/>
    <x v="1"/>
    <s v="Professional Development"/>
    <x v="0"/>
    <d v="2024-10-08T00:00:00"/>
    <d v="2024-11-24T00:00:00"/>
    <x v="0"/>
    <n v="41"/>
    <m/>
    <s v="No"/>
    <n v="42"/>
    <s v="North"/>
    <x v="4"/>
    <s v="teacher324@school.edu"/>
    <n v="35"/>
    <s v="No"/>
    <n v="0"/>
    <n v="1"/>
    <n v="47"/>
    <x v="3"/>
  </r>
  <r>
    <s v="T0325"/>
    <x v="21"/>
    <s v="Male"/>
    <n v="57"/>
    <s v="Public School"/>
    <s v="Social Science"/>
    <x v="1"/>
    <s v="Professional Development"/>
    <x v="0"/>
    <d v="2024-10-25T00:00:00"/>
    <d v="2024-12-03T00:00:00"/>
    <x v="0"/>
    <n v="96"/>
    <m/>
    <s v="No"/>
    <n v="57"/>
    <s v="East"/>
    <x v="4"/>
    <s v="teacher325@school.edu"/>
    <n v="15"/>
    <s v="No"/>
    <n v="0"/>
    <n v="1"/>
    <n v="39"/>
    <x v="1"/>
  </r>
  <r>
    <s v="T0326"/>
    <x v="11"/>
    <s v="Female"/>
    <n v="54"/>
    <s v="International School"/>
    <s v="Science"/>
    <x v="3"/>
    <s v="Technology"/>
    <x v="0"/>
    <d v="2024-03-11T00:00:00"/>
    <d v="2024-05-08T00:00:00"/>
    <x v="1"/>
    <n v="90"/>
    <n v="60"/>
    <s v="Yes"/>
    <n v="38"/>
    <s v="East"/>
    <x v="3"/>
    <s v="teacher326@school.edu"/>
    <n v="14"/>
    <s v="Yes"/>
    <n v="1"/>
    <n v="1"/>
    <n v="58"/>
    <x v="1"/>
  </r>
  <r>
    <s v="T0327"/>
    <x v="30"/>
    <s v="Male"/>
    <n v="27"/>
    <s v="Public School"/>
    <s v="Maths"/>
    <x v="2"/>
    <s v="Assessment"/>
    <x v="1"/>
    <d v="2024-02-09T00:00:00"/>
    <d v="2024-02-21T00:00:00"/>
    <x v="2"/>
    <n v="20"/>
    <m/>
    <s v="No"/>
    <n v="13"/>
    <s v="South"/>
    <x v="1"/>
    <s v="teacher327@school.edu"/>
    <n v="28"/>
    <s v="No"/>
    <n v="0"/>
    <n v="1"/>
    <n v="12"/>
    <x v="3"/>
  </r>
  <r>
    <s v="T0328"/>
    <x v="5"/>
    <s v="Male"/>
    <n v="45"/>
    <s v="Central School"/>
    <s v="Computer Science"/>
    <x v="2"/>
    <s v="Assessment"/>
    <x v="1"/>
    <d v="2024-06-27T00:00:00"/>
    <d v="2024-08-18T00:00:00"/>
    <x v="1"/>
    <n v="99"/>
    <n v="90"/>
    <s v="Yes"/>
    <n v="46"/>
    <s v="South"/>
    <x v="4"/>
    <s v="teacher328@school.edu"/>
    <n v="3"/>
    <s v="Yes"/>
    <n v="1"/>
    <n v="1"/>
    <n v="52"/>
    <x v="0"/>
  </r>
  <r>
    <s v="T0329"/>
    <x v="27"/>
    <s v="Female"/>
    <n v="52"/>
    <s v="International School"/>
    <s v="English"/>
    <x v="2"/>
    <s v="Professional Development"/>
    <x v="0"/>
    <d v="2024-01-04T00:00:00"/>
    <d v="2024-01-12T00:00:00"/>
    <x v="1"/>
    <n v="99"/>
    <n v="70"/>
    <s v="Yes"/>
    <n v="18"/>
    <s v="North"/>
    <x v="4"/>
    <s v="teacher329@school.edu"/>
    <n v="6"/>
    <s v="Yes"/>
    <n v="1"/>
    <n v="1"/>
    <n v="8"/>
    <x v="2"/>
  </r>
  <r>
    <s v="T0330"/>
    <x v="25"/>
    <s v="Female"/>
    <n v="59"/>
    <s v="Central School"/>
    <s v="English"/>
    <x v="4"/>
    <s v="Assessment"/>
    <x v="1"/>
    <d v="2024-02-03T00:00:00"/>
    <d v="2024-02-20T00:00:00"/>
    <x v="1"/>
    <n v="51"/>
    <n v="98"/>
    <s v="Yes"/>
    <n v="14"/>
    <s v="West"/>
    <x v="4"/>
    <s v="teacher330@school.edu"/>
    <n v="17"/>
    <s v="Yes"/>
    <n v="1"/>
    <n v="1"/>
    <n v="17"/>
    <x v="1"/>
  </r>
  <r>
    <s v="T0331"/>
    <x v="22"/>
    <s v="Male"/>
    <n v="49"/>
    <s v="Public School"/>
    <s v="Science"/>
    <x v="2"/>
    <s v="Assessment"/>
    <x v="2"/>
    <d v="2024-07-20T00:00:00"/>
    <d v="2024-09-02T00:00:00"/>
    <x v="0"/>
    <n v="84"/>
    <m/>
    <s v="No"/>
    <n v="27"/>
    <s v="East"/>
    <x v="0"/>
    <s v="teacher331@school.edu"/>
    <n v="1"/>
    <s v="No"/>
    <n v="0"/>
    <n v="1"/>
    <n v="44"/>
    <x v="0"/>
  </r>
  <r>
    <s v="T0332"/>
    <x v="9"/>
    <s v="Male"/>
    <n v="29"/>
    <s v="Central School"/>
    <s v="Social Science"/>
    <x v="0"/>
    <s v="Technology"/>
    <x v="2"/>
    <d v="2024-06-29T00:00:00"/>
    <d v="2024-07-28T00:00:00"/>
    <x v="0"/>
    <n v="81"/>
    <m/>
    <s v="No"/>
    <n v="58"/>
    <s v="East"/>
    <x v="1"/>
    <s v="teacher332@school.edu"/>
    <n v="5"/>
    <s v="No"/>
    <n v="0"/>
    <n v="1"/>
    <n v="29"/>
    <x v="0"/>
  </r>
  <r>
    <s v="T0333"/>
    <x v="30"/>
    <s v="Female"/>
    <n v="41"/>
    <s v="Govt High School"/>
    <s v="Computer Science"/>
    <x v="2"/>
    <s v="Technology"/>
    <x v="1"/>
    <d v="2024-06-27T00:00:00"/>
    <d v="2024-07-19T00:00:00"/>
    <x v="2"/>
    <n v="3"/>
    <m/>
    <s v="No"/>
    <n v="16"/>
    <s v="North"/>
    <x v="1"/>
    <s v="teacher333@school.edu"/>
    <n v="23"/>
    <s v="No"/>
    <n v="0"/>
    <n v="1"/>
    <n v="22"/>
    <x v="3"/>
  </r>
  <r>
    <s v="T0334"/>
    <x v="19"/>
    <s v="Male"/>
    <n v="60"/>
    <s v="Public School"/>
    <s v="English"/>
    <x v="0"/>
    <s v="Technology"/>
    <x v="1"/>
    <d v="2024-03-30T00:00:00"/>
    <d v="2024-05-15T00:00:00"/>
    <x v="2"/>
    <n v="27"/>
    <m/>
    <s v="No"/>
    <n v="27"/>
    <s v="South"/>
    <x v="0"/>
    <s v="teacher334@school.edu"/>
    <n v="23"/>
    <s v="No"/>
    <n v="0"/>
    <n v="1"/>
    <n v="46"/>
    <x v="3"/>
  </r>
  <r>
    <s v="T0335"/>
    <x v="21"/>
    <s v="Male"/>
    <n v="22"/>
    <s v="International School"/>
    <s v="Social Science"/>
    <x v="4"/>
    <s v="Assessment"/>
    <x v="2"/>
    <d v="2024-03-12T00:00:00"/>
    <d v="2024-04-10T00:00:00"/>
    <x v="2"/>
    <n v="22"/>
    <m/>
    <s v="No"/>
    <n v="7"/>
    <s v="South"/>
    <x v="2"/>
    <s v="teacher335@school.edu"/>
    <n v="3"/>
    <s v="No"/>
    <n v="0"/>
    <n v="1"/>
    <n v="29"/>
    <x v="0"/>
  </r>
  <r>
    <s v="T0336"/>
    <x v="8"/>
    <s v="Male"/>
    <n v="59"/>
    <s v="Govt High School"/>
    <s v="Computer Science"/>
    <x v="4"/>
    <s v="Professional Development"/>
    <x v="2"/>
    <d v="2024-07-18T00:00:00"/>
    <d v="2024-07-31T00:00:00"/>
    <x v="0"/>
    <n v="85"/>
    <m/>
    <s v="No"/>
    <n v="24"/>
    <s v="West"/>
    <x v="1"/>
    <s v="teacher336@school.edu"/>
    <n v="33"/>
    <s v="No"/>
    <n v="0"/>
    <n v="1"/>
    <n v="13"/>
    <x v="3"/>
  </r>
  <r>
    <s v="T0337"/>
    <x v="29"/>
    <s v="Male"/>
    <n v="52"/>
    <s v="Central School"/>
    <s v="Computer Science"/>
    <x v="0"/>
    <s v="Pedagogy"/>
    <x v="0"/>
    <d v="2024-03-01T00:00:00"/>
    <d v="2024-03-31T00:00:00"/>
    <x v="0"/>
    <n v="82"/>
    <m/>
    <s v="No"/>
    <n v="27"/>
    <s v="West"/>
    <x v="0"/>
    <s v="teacher337@school.edu"/>
    <n v="3"/>
    <s v="No"/>
    <n v="0"/>
    <n v="1"/>
    <n v="30"/>
    <x v="0"/>
  </r>
  <r>
    <s v="T0338"/>
    <x v="36"/>
    <s v="Female"/>
    <n v="58"/>
    <s v="Govt High School"/>
    <s v="Computer Science"/>
    <x v="0"/>
    <s v="Pedagogy"/>
    <x v="0"/>
    <d v="2024-01-17T00:00:00"/>
    <d v="2024-02-01T00:00:00"/>
    <x v="0"/>
    <n v="82"/>
    <m/>
    <s v="No"/>
    <n v="42"/>
    <s v="South"/>
    <x v="3"/>
    <s v="teacher338@school.edu"/>
    <n v="27"/>
    <s v="No"/>
    <n v="0"/>
    <n v="1"/>
    <n v="15"/>
    <x v="3"/>
  </r>
  <r>
    <s v="T0339"/>
    <x v="6"/>
    <s v="Female"/>
    <n v="44"/>
    <s v="International School"/>
    <s v="Science"/>
    <x v="4"/>
    <s v="Pedagogy"/>
    <x v="1"/>
    <d v="2024-03-30T00:00:00"/>
    <d v="2024-05-27T00:00:00"/>
    <x v="1"/>
    <n v="67"/>
    <n v="64"/>
    <s v="Yes"/>
    <n v="44"/>
    <s v="West"/>
    <x v="3"/>
    <s v="teacher339@school.edu"/>
    <n v="2"/>
    <s v="Yes"/>
    <n v="1"/>
    <n v="1"/>
    <n v="58"/>
    <x v="0"/>
  </r>
  <r>
    <s v="T0340"/>
    <x v="24"/>
    <s v="Female"/>
    <n v="36"/>
    <s v="Public School"/>
    <s v="Social Science"/>
    <x v="4"/>
    <s v="Technology"/>
    <x v="0"/>
    <d v="2024-05-21T00:00:00"/>
    <d v="2024-07-11T00:00:00"/>
    <x v="1"/>
    <n v="75"/>
    <n v="56"/>
    <s v="Yes"/>
    <n v="21"/>
    <s v="East"/>
    <x v="1"/>
    <s v="teacher340@school.edu"/>
    <n v="13"/>
    <s v="Yes"/>
    <n v="1"/>
    <n v="1"/>
    <n v="51"/>
    <x v="1"/>
  </r>
  <r>
    <s v="T0341"/>
    <x v="16"/>
    <s v="Female"/>
    <n v="33"/>
    <s v="Govt High School"/>
    <s v="Social Science"/>
    <x v="1"/>
    <s v="Pedagogy"/>
    <x v="0"/>
    <d v="2024-01-02T00:00:00"/>
    <d v="2024-01-07T00:00:00"/>
    <x v="1"/>
    <n v="54"/>
    <n v="63"/>
    <s v="Yes"/>
    <n v="27"/>
    <s v="East"/>
    <x v="2"/>
    <s v="teacher341@school.edu"/>
    <n v="15"/>
    <s v="Yes"/>
    <n v="1"/>
    <n v="1"/>
    <n v="5"/>
    <x v="1"/>
  </r>
  <r>
    <s v="T0342"/>
    <x v="31"/>
    <s v="Female"/>
    <n v="50"/>
    <s v="Public School"/>
    <s v="English"/>
    <x v="2"/>
    <s v="Assessment"/>
    <x v="1"/>
    <d v="2024-02-15T00:00:00"/>
    <d v="2024-04-03T00:00:00"/>
    <x v="2"/>
    <n v="25"/>
    <m/>
    <s v="No"/>
    <n v="50"/>
    <s v="West"/>
    <x v="2"/>
    <s v="teacher342@school.edu"/>
    <n v="31"/>
    <s v="No"/>
    <n v="0"/>
    <n v="1"/>
    <n v="48"/>
    <x v="3"/>
  </r>
  <r>
    <s v="T0343"/>
    <x v="20"/>
    <s v="Male"/>
    <n v="49"/>
    <s v="International School"/>
    <s v="Social Science"/>
    <x v="4"/>
    <s v="Assessment"/>
    <x v="2"/>
    <d v="2024-05-05T00:00:00"/>
    <d v="2024-06-17T00:00:00"/>
    <x v="2"/>
    <n v="14"/>
    <m/>
    <s v="No"/>
    <n v="21"/>
    <s v="West"/>
    <x v="0"/>
    <s v="teacher343@school.edu"/>
    <n v="21"/>
    <s v="No"/>
    <n v="0"/>
    <n v="1"/>
    <n v="43"/>
    <x v="3"/>
  </r>
  <r>
    <s v="T0344"/>
    <x v="29"/>
    <s v="Female"/>
    <n v="36"/>
    <s v="Public School"/>
    <s v="Science"/>
    <x v="1"/>
    <s v="Assessment"/>
    <x v="1"/>
    <d v="2024-10-06T00:00:00"/>
    <d v="2024-10-23T00:00:00"/>
    <x v="0"/>
    <n v="50"/>
    <m/>
    <s v="No"/>
    <n v="44"/>
    <s v="West"/>
    <x v="3"/>
    <s v="teacher344@school.edu"/>
    <n v="2"/>
    <s v="No"/>
    <n v="0"/>
    <n v="1"/>
    <n v="17"/>
    <x v="0"/>
  </r>
  <r>
    <s v="T0345"/>
    <x v="15"/>
    <s v="Male"/>
    <n v="58"/>
    <s v="International School"/>
    <s v="English"/>
    <x v="3"/>
    <s v="Assessment"/>
    <x v="1"/>
    <d v="2024-06-13T00:00:00"/>
    <d v="2024-08-05T00:00:00"/>
    <x v="1"/>
    <n v="49"/>
    <n v="52"/>
    <s v="Yes"/>
    <n v="34"/>
    <s v="North"/>
    <x v="2"/>
    <s v="teacher345@school.edu"/>
    <n v="7"/>
    <s v="Yes"/>
    <n v="1"/>
    <n v="1"/>
    <n v="53"/>
    <x v="2"/>
  </r>
  <r>
    <s v="T0346"/>
    <x v="4"/>
    <s v="Male"/>
    <n v="50"/>
    <s v="Central School"/>
    <s v="English"/>
    <x v="3"/>
    <s v="Assessment"/>
    <x v="2"/>
    <d v="2024-02-17T00:00:00"/>
    <d v="2024-04-01T00:00:00"/>
    <x v="2"/>
    <n v="26"/>
    <m/>
    <s v="No"/>
    <n v="44"/>
    <s v="North"/>
    <x v="0"/>
    <s v="teacher346@school.edu"/>
    <n v="9"/>
    <s v="No"/>
    <n v="0"/>
    <n v="1"/>
    <n v="44"/>
    <x v="2"/>
  </r>
  <r>
    <s v="T0347"/>
    <x v="3"/>
    <s v="Female"/>
    <n v="27"/>
    <s v="Govt High School"/>
    <s v="Maths"/>
    <x v="4"/>
    <s v="Pedagogy"/>
    <x v="1"/>
    <d v="2024-04-24T00:00:00"/>
    <d v="2024-05-10T00:00:00"/>
    <x v="1"/>
    <n v="68"/>
    <n v="71"/>
    <s v="Yes"/>
    <n v="25"/>
    <s v="West"/>
    <x v="4"/>
    <s v="teacher347@school.edu"/>
    <n v="22"/>
    <s v="Yes"/>
    <n v="1"/>
    <n v="1"/>
    <n v="16"/>
    <x v="3"/>
  </r>
  <r>
    <s v="T0348"/>
    <x v="20"/>
    <s v="Female"/>
    <n v="35"/>
    <s v="Govt High School"/>
    <s v="Science"/>
    <x v="0"/>
    <s v="Assessment"/>
    <x v="0"/>
    <d v="2024-04-05T00:00:00"/>
    <d v="2024-04-18T00:00:00"/>
    <x v="2"/>
    <n v="6"/>
    <m/>
    <s v="No"/>
    <n v="40"/>
    <s v="North"/>
    <x v="3"/>
    <s v="teacher348@school.edu"/>
    <n v="25"/>
    <s v="No"/>
    <n v="0"/>
    <n v="1"/>
    <n v="13"/>
    <x v="3"/>
  </r>
  <r>
    <s v="T0349"/>
    <x v="10"/>
    <s v="Female"/>
    <n v="50"/>
    <s v="Govt High School"/>
    <s v="Science"/>
    <x v="1"/>
    <s v="Pedagogy"/>
    <x v="1"/>
    <d v="2024-01-17T00:00:00"/>
    <d v="2024-01-27T00:00:00"/>
    <x v="2"/>
    <n v="32"/>
    <m/>
    <s v="No"/>
    <n v="22"/>
    <s v="East"/>
    <x v="4"/>
    <s v="teacher349@school.edu"/>
    <n v="21"/>
    <s v="No"/>
    <n v="0"/>
    <n v="1"/>
    <n v="10"/>
    <x v="3"/>
  </r>
  <r>
    <s v="T0350"/>
    <x v="26"/>
    <s v="Female"/>
    <n v="35"/>
    <s v="Govt High School"/>
    <s v="Science"/>
    <x v="0"/>
    <s v="Pedagogy"/>
    <x v="1"/>
    <d v="2024-02-10T00:00:00"/>
    <d v="2024-03-05T00:00:00"/>
    <x v="0"/>
    <n v="55"/>
    <m/>
    <s v="No"/>
    <n v="12"/>
    <s v="South"/>
    <x v="4"/>
    <s v="teacher350@school.edu"/>
    <n v="8"/>
    <s v="No"/>
    <n v="0"/>
    <n v="1"/>
    <n v="24"/>
    <x v="2"/>
  </r>
  <r>
    <s v="T0351"/>
    <x v="0"/>
    <s v="Female"/>
    <n v="60"/>
    <s v="International School"/>
    <s v="Science"/>
    <x v="3"/>
    <s v="Technology"/>
    <x v="2"/>
    <d v="2024-08-27T00:00:00"/>
    <d v="2024-09-27T00:00:00"/>
    <x v="1"/>
    <n v="46"/>
    <n v="86"/>
    <s v="Yes"/>
    <n v="29"/>
    <s v="South"/>
    <x v="1"/>
    <s v="teacher351@school.edu"/>
    <n v="34"/>
    <s v="Yes"/>
    <n v="1"/>
    <n v="1"/>
    <n v="31"/>
    <x v="3"/>
  </r>
  <r>
    <s v="T0352"/>
    <x v="4"/>
    <s v="Female"/>
    <n v="60"/>
    <s v="International School"/>
    <s v="Social Science"/>
    <x v="1"/>
    <s v="Pedagogy"/>
    <x v="2"/>
    <d v="2024-08-10T00:00:00"/>
    <d v="2024-08-18T00:00:00"/>
    <x v="2"/>
    <n v="40"/>
    <m/>
    <s v="No"/>
    <n v="40"/>
    <s v="South"/>
    <x v="1"/>
    <s v="teacher352@school.edu"/>
    <n v="1"/>
    <s v="No"/>
    <n v="0"/>
    <n v="1"/>
    <n v="8"/>
    <x v="0"/>
  </r>
  <r>
    <s v="T0353"/>
    <x v="19"/>
    <s v="Male"/>
    <n v="42"/>
    <s v="International School"/>
    <s v="Computer Science"/>
    <x v="1"/>
    <s v="Assessment"/>
    <x v="2"/>
    <d v="2024-01-11T00:00:00"/>
    <d v="2024-02-02T00:00:00"/>
    <x v="1"/>
    <n v="60"/>
    <n v="52"/>
    <s v="Yes"/>
    <n v="6"/>
    <s v="East"/>
    <x v="3"/>
    <s v="teacher353@school.edu"/>
    <n v="27"/>
    <s v="Yes"/>
    <n v="1"/>
    <n v="1"/>
    <n v="22"/>
    <x v="3"/>
  </r>
  <r>
    <s v="T0354"/>
    <x v="1"/>
    <s v="Male"/>
    <n v="33"/>
    <s v="Public School"/>
    <s v="English"/>
    <x v="4"/>
    <s v="Pedagogy"/>
    <x v="1"/>
    <d v="2024-07-10T00:00:00"/>
    <d v="2024-09-05T00:00:00"/>
    <x v="1"/>
    <n v="63"/>
    <n v="100"/>
    <s v="Yes"/>
    <n v="27"/>
    <s v="South"/>
    <x v="1"/>
    <s v="teacher354@school.edu"/>
    <n v="16"/>
    <s v="Yes"/>
    <n v="1"/>
    <n v="1"/>
    <n v="57"/>
    <x v="1"/>
  </r>
  <r>
    <s v="T0355"/>
    <x v="9"/>
    <s v="Female"/>
    <n v="35"/>
    <s v="Govt High School"/>
    <s v="Maths"/>
    <x v="1"/>
    <s v="Pedagogy"/>
    <x v="0"/>
    <d v="2024-01-25T00:00:00"/>
    <d v="2024-02-29T00:00:00"/>
    <x v="1"/>
    <n v="70"/>
    <n v="92"/>
    <s v="Yes"/>
    <n v="53"/>
    <s v="North"/>
    <x v="1"/>
    <s v="teacher355@school.edu"/>
    <n v="4"/>
    <s v="Yes"/>
    <n v="1"/>
    <n v="1"/>
    <n v="35"/>
    <x v="0"/>
  </r>
  <r>
    <s v="T0356"/>
    <x v="9"/>
    <s v="Female"/>
    <n v="46"/>
    <s v="Public School"/>
    <s v="Science"/>
    <x v="2"/>
    <s v="Professional Development"/>
    <x v="2"/>
    <d v="2024-03-04T00:00:00"/>
    <d v="2024-03-27T00:00:00"/>
    <x v="1"/>
    <n v="42"/>
    <n v="62"/>
    <s v="Yes"/>
    <n v="15"/>
    <s v="West"/>
    <x v="4"/>
    <s v="teacher356@school.edu"/>
    <n v="9"/>
    <s v="Yes"/>
    <n v="1"/>
    <n v="1"/>
    <n v="23"/>
    <x v="2"/>
  </r>
  <r>
    <s v="T0357"/>
    <x v="5"/>
    <s v="Female"/>
    <n v="37"/>
    <s v="Public School"/>
    <s v="Maths"/>
    <x v="3"/>
    <s v="Assessment"/>
    <x v="2"/>
    <d v="2024-06-15T00:00:00"/>
    <d v="2024-07-13T00:00:00"/>
    <x v="1"/>
    <n v="72"/>
    <n v="63"/>
    <s v="Yes"/>
    <n v="39"/>
    <s v="West"/>
    <x v="1"/>
    <s v="teacher357@school.edu"/>
    <n v="28"/>
    <s v="Yes"/>
    <n v="1"/>
    <n v="1"/>
    <n v="28"/>
    <x v="3"/>
  </r>
  <r>
    <s v="T0358"/>
    <x v="38"/>
    <s v="Male"/>
    <n v="55"/>
    <s v="Govt High School"/>
    <s v="Computer Science"/>
    <x v="2"/>
    <s v="Professional Development"/>
    <x v="0"/>
    <d v="2024-09-19T00:00:00"/>
    <d v="2024-10-11T00:00:00"/>
    <x v="1"/>
    <n v="95"/>
    <n v="65"/>
    <s v="Yes"/>
    <n v="5"/>
    <s v="West"/>
    <x v="0"/>
    <s v="teacher358@school.edu"/>
    <n v="15"/>
    <s v="Yes"/>
    <n v="1"/>
    <n v="1"/>
    <n v="22"/>
    <x v="1"/>
  </r>
  <r>
    <s v="T0359"/>
    <x v="2"/>
    <s v="Male"/>
    <n v="60"/>
    <s v="Central School"/>
    <s v="Science"/>
    <x v="3"/>
    <s v="Professional Development"/>
    <x v="0"/>
    <d v="2024-10-16T00:00:00"/>
    <d v="2024-11-21T00:00:00"/>
    <x v="2"/>
    <n v="21"/>
    <m/>
    <s v="No"/>
    <n v="54"/>
    <s v="East"/>
    <x v="4"/>
    <s v="teacher359@school.edu"/>
    <n v="17"/>
    <s v="No"/>
    <n v="0"/>
    <n v="1"/>
    <n v="36"/>
    <x v="1"/>
  </r>
  <r>
    <s v="T0360"/>
    <x v="25"/>
    <s v="Female"/>
    <n v="30"/>
    <s v="Public School"/>
    <s v="Computer Science"/>
    <x v="2"/>
    <s v="Professional Development"/>
    <x v="2"/>
    <d v="2024-07-03T00:00:00"/>
    <d v="2024-07-09T00:00:00"/>
    <x v="2"/>
    <n v="32"/>
    <m/>
    <s v="No"/>
    <n v="11"/>
    <s v="West"/>
    <x v="4"/>
    <s v="teacher360@school.edu"/>
    <n v="31"/>
    <s v="No"/>
    <n v="0"/>
    <n v="1"/>
    <n v="6"/>
    <x v="3"/>
  </r>
  <r>
    <s v="T0361"/>
    <x v="1"/>
    <s v="Female"/>
    <n v="60"/>
    <s v="Central School"/>
    <s v="Science"/>
    <x v="3"/>
    <s v="Pedagogy"/>
    <x v="2"/>
    <d v="2024-01-17T00:00:00"/>
    <d v="2024-01-29T00:00:00"/>
    <x v="2"/>
    <n v="27"/>
    <m/>
    <s v="No"/>
    <n v="41"/>
    <s v="South"/>
    <x v="4"/>
    <s v="teacher361@school.edu"/>
    <n v="31"/>
    <s v="No"/>
    <n v="0"/>
    <n v="1"/>
    <n v="12"/>
    <x v="3"/>
  </r>
  <r>
    <s v="T0362"/>
    <x v="10"/>
    <s v="Male"/>
    <n v="39"/>
    <s v="Govt High School"/>
    <s v="Maths"/>
    <x v="3"/>
    <s v="Assessment"/>
    <x v="0"/>
    <d v="2024-04-01T00:00:00"/>
    <d v="2024-05-29T00:00:00"/>
    <x v="1"/>
    <n v="58"/>
    <n v="82"/>
    <s v="Yes"/>
    <n v="26"/>
    <s v="South"/>
    <x v="3"/>
    <s v="teacher362@school.edu"/>
    <n v="30"/>
    <s v="Yes"/>
    <n v="1"/>
    <n v="1"/>
    <n v="58"/>
    <x v="3"/>
  </r>
  <r>
    <s v="T0363"/>
    <x v="22"/>
    <s v="Female"/>
    <n v="25"/>
    <s v="International School"/>
    <s v="Computer Science"/>
    <x v="3"/>
    <s v="Professional Development"/>
    <x v="1"/>
    <d v="2024-06-26T00:00:00"/>
    <d v="2024-08-13T00:00:00"/>
    <x v="2"/>
    <n v="26"/>
    <m/>
    <s v="No"/>
    <n v="40"/>
    <s v="North"/>
    <x v="3"/>
    <s v="teacher363@school.edu"/>
    <n v="4"/>
    <s v="No"/>
    <n v="0"/>
    <n v="1"/>
    <n v="48"/>
    <x v="0"/>
  </r>
  <r>
    <s v="T0364"/>
    <x v="31"/>
    <s v="Male"/>
    <n v="53"/>
    <s v="Govt High School"/>
    <s v="Social Science"/>
    <x v="0"/>
    <s v="Assessment"/>
    <x v="0"/>
    <d v="2024-08-23T00:00:00"/>
    <d v="2024-10-08T00:00:00"/>
    <x v="2"/>
    <n v="29"/>
    <m/>
    <s v="No"/>
    <n v="20"/>
    <s v="North"/>
    <x v="4"/>
    <s v="teacher364@school.edu"/>
    <n v="2"/>
    <s v="No"/>
    <n v="0"/>
    <n v="1"/>
    <n v="46"/>
    <x v="0"/>
  </r>
  <r>
    <s v="T0365"/>
    <x v="17"/>
    <s v="Female"/>
    <n v="27"/>
    <s v="Central School"/>
    <s v="Social Science"/>
    <x v="1"/>
    <s v="Professional Development"/>
    <x v="2"/>
    <d v="2024-05-30T00:00:00"/>
    <d v="2024-06-12T00:00:00"/>
    <x v="1"/>
    <n v="73"/>
    <n v="57"/>
    <s v="Yes"/>
    <n v="50"/>
    <s v="North"/>
    <x v="3"/>
    <s v="teacher365@school.edu"/>
    <n v="11"/>
    <s v="Yes"/>
    <n v="1"/>
    <n v="1"/>
    <n v="13"/>
    <x v="1"/>
  </r>
  <r>
    <s v="T0366"/>
    <x v="31"/>
    <s v="Female"/>
    <n v="44"/>
    <s v="Public School"/>
    <s v="Maths"/>
    <x v="3"/>
    <s v="Professional Development"/>
    <x v="0"/>
    <d v="2024-09-23T00:00:00"/>
    <d v="2024-10-09T00:00:00"/>
    <x v="1"/>
    <n v="91"/>
    <n v="90"/>
    <s v="Yes"/>
    <n v="15"/>
    <s v="South"/>
    <x v="0"/>
    <s v="teacher366@school.edu"/>
    <n v="16"/>
    <s v="Yes"/>
    <n v="1"/>
    <n v="1"/>
    <n v="16"/>
    <x v="1"/>
  </r>
  <r>
    <s v="T0367"/>
    <x v="18"/>
    <s v="Male"/>
    <n v="48"/>
    <s v="International School"/>
    <s v="Computer Science"/>
    <x v="1"/>
    <s v="Assessment"/>
    <x v="1"/>
    <d v="2024-05-19T00:00:00"/>
    <d v="2024-07-16T00:00:00"/>
    <x v="2"/>
    <n v="35"/>
    <m/>
    <s v="No"/>
    <n v="52"/>
    <s v="South"/>
    <x v="3"/>
    <s v="teacher367@school.edu"/>
    <n v="35"/>
    <s v="No"/>
    <n v="0"/>
    <n v="1"/>
    <n v="58"/>
    <x v="3"/>
  </r>
  <r>
    <s v="T0368"/>
    <x v="14"/>
    <s v="Male"/>
    <n v="44"/>
    <s v="Govt High School"/>
    <s v="Computer Science"/>
    <x v="2"/>
    <s v="Pedagogy"/>
    <x v="0"/>
    <d v="2024-07-12T00:00:00"/>
    <d v="2024-08-13T00:00:00"/>
    <x v="1"/>
    <n v="58"/>
    <n v="99"/>
    <s v="Yes"/>
    <n v="36"/>
    <s v="West"/>
    <x v="0"/>
    <s v="teacher368@school.edu"/>
    <n v="31"/>
    <s v="Yes"/>
    <n v="1"/>
    <n v="1"/>
    <n v="32"/>
    <x v="3"/>
  </r>
  <r>
    <s v="T0369"/>
    <x v="16"/>
    <s v="Female"/>
    <n v="29"/>
    <s v="International School"/>
    <s v="Computer Science"/>
    <x v="4"/>
    <s v="Professional Development"/>
    <x v="2"/>
    <d v="2024-02-21T00:00:00"/>
    <d v="2024-03-17T00:00:00"/>
    <x v="0"/>
    <n v="47"/>
    <m/>
    <s v="No"/>
    <n v="35"/>
    <s v="South"/>
    <x v="3"/>
    <s v="teacher369@school.edu"/>
    <n v="14"/>
    <s v="No"/>
    <n v="0"/>
    <n v="1"/>
    <n v="25"/>
    <x v="1"/>
  </r>
  <r>
    <s v="T0370"/>
    <x v="1"/>
    <s v="Male"/>
    <n v="58"/>
    <s v="Central School"/>
    <s v="Social Science"/>
    <x v="3"/>
    <s v="Assessment"/>
    <x v="0"/>
    <d v="2024-08-12T00:00:00"/>
    <d v="2024-08-23T00:00:00"/>
    <x v="0"/>
    <n v="55"/>
    <m/>
    <s v="No"/>
    <n v="11"/>
    <s v="East"/>
    <x v="3"/>
    <s v="teacher370@school.edu"/>
    <n v="11"/>
    <s v="No"/>
    <n v="0"/>
    <n v="1"/>
    <n v="11"/>
    <x v="1"/>
  </r>
  <r>
    <s v="T0371"/>
    <x v="6"/>
    <s v="Female"/>
    <n v="25"/>
    <s v="International School"/>
    <s v="Social Science"/>
    <x v="3"/>
    <s v="Technology"/>
    <x v="1"/>
    <d v="2024-05-28T00:00:00"/>
    <d v="2024-07-22T00:00:00"/>
    <x v="1"/>
    <n v="83"/>
    <n v="57"/>
    <s v="Yes"/>
    <n v="39"/>
    <s v="South"/>
    <x v="4"/>
    <s v="teacher371@school.edu"/>
    <n v="9"/>
    <s v="Yes"/>
    <n v="1"/>
    <n v="1"/>
    <n v="55"/>
    <x v="2"/>
  </r>
  <r>
    <s v="T0372"/>
    <x v="27"/>
    <s v="Female"/>
    <n v="35"/>
    <s v="International School"/>
    <s v="English"/>
    <x v="1"/>
    <s v="Pedagogy"/>
    <x v="0"/>
    <d v="2024-05-02T00:00:00"/>
    <d v="2024-05-15T00:00:00"/>
    <x v="1"/>
    <n v="96"/>
    <n v="52"/>
    <s v="Yes"/>
    <n v="42"/>
    <s v="North"/>
    <x v="0"/>
    <s v="teacher372@school.edu"/>
    <n v="2"/>
    <s v="Yes"/>
    <n v="1"/>
    <n v="1"/>
    <n v="13"/>
    <x v="0"/>
  </r>
  <r>
    <s v="T0373"/>
    <x v="13"/>
    <s v="Female"/>
    <n v="56"/>
    <s v="Public School"/>
    <s v="Computer Science"/>
    <x v="0"/>
    <s v="Assessment"/>
    <x v="2"/>
    <d v="2024-10-01T00:00:00"/>
    <d v="2024-10-19T00:00:00"/>
    <x v="2"/>
    <n v="27"/>
    <m/>
    <s v="No"/>
    <n v="7"/>
    <s v="East"/>
    <x v="1"/>
    <s v="teacher373@school.edu"/>
    <n v="11"/>
    <s v="No"/>
    <n v="0"/>
    <n v="1"/>
    <n v="18"/>
    <x v="1"/>
  </r>
  <r>
    <s v="T0374"/>
    <x v="32"/>
    <s v="Female"/>
    <n v="58"/>
    <s v="Central School"/>
    <s v="Social Science"/>
    <x v="3"/>
    <s v="Professional Development"/>
    <x v="2"/>
    <d v="2024-10-26T00:00:00"/>
    <d v="2024-11-10T00:00:00"/>
    <x v="1"/>
    <n v="65"/>
    <n v="63"/>
    <s v="Yes"/>
    <n v="7"/>
    <s v="North"/>
    <x v="2"/>
    <s v="teacher374@school.edu"/>
    <n v="2"/>
    <s v="Yes"/>
    <n v="1"/>
    <n v="1"/>
    <n v="15"/>
    <x v="0"/>
  </r>
  <r>
    <s v="T0375"/>
    <x v="3"/>
    <s v="Female"/>
    <n v="50"/>
    <s v="Central School"/>
    <s v="English"/>
    <x v="3"/>
    <s v="Technology"/>
    <x v="0"/>
    <d v="2024-04-02T00:00:00"/>
    <d v="2024-04-09T00:00:00"/>
    <x v="1"/>
    <n v="64"/>
    <n v="61"/>
    <s v="Yes"/>
    <n v="27"/>
    <s v="East"/>
    <x v="3"/>
    <s v="teacher375@school.edu"/>
    <n v="15"/>
    <s v="Yes"/>
    <n v="1"/>
    <n v="1"/>
    <n v="7"/>
    <x v="1"/>
  </r>
  <r>
    <s v="T0376"/>
    <x v="27"/>
    <s v="Female"/>
    <n v="44"/>
    <s v="Central School"/>
    <s v="Computer Science"/>
    <x v="4"/>
    <s v="Pedagogy"/>
    <x v="0"/>
    <d v="2024-10-01T00:00:00"/>
    <d v="2024-11-11T00:00:00"/>
    <x v="1"/>
    <n v="67"/>
    <n v="60"/>
    <s v="Yes"/>
    <n v="44"/>
    <s v="East"/>
    <x v="1"/>
    <s v="teacher376@school.edu"/>
    <n v="8"/>
    <s v="Yes"/>
    <n v="1"/>
    <n v="1"/>
    <n v="41"/>
    <x v="2"/>
  </r>
  <r>
    <s v="T0377"/>
    <x v="18"/>
    <s v="Female"/>
    <n v="42"/>
    <s v="Central School"/>
    <s v="Computer Science"/>
    <x v="1"/>
    <s v="Assessment"/>
    <x v="1"/>
    <d v="2024-10-06T00:00:00"/>
    <d v="2024-10-29T00:00:00"/>
    <x v="2"/>
    <n v="38"/>
    <m/>
    <s v="No"/>
    <n v="34"/>
    <s v="South"/>
    <x v="3"/>
    <s v="teacher377@school.edu"/>
    <n v="28"/>
    <s v="No"/>
    <n v="0"/>
    <n v="1"/>
    <n v="23"/>
    <x v="3"/>
  </r>
  <r>
    <s v="T0378"/>
    <x v="30"/>
    <s v="Male"/>
    <n v="49"/>
    <s v="Central School"/>
    <s v="English"/>
    <x v="1"/>
    <s v="Pedagogy"/>
    <x v="0"/>
    <d v="2024-09-09T00:00:00"/>
    <d v="2024-10-07T00:00:00"/>
    <x v="2"/>
    <n v="11"/>
    <m/>
    <s v="No"/>
    <n v="23"/>
    <s v="West"/>
    <x v="4"/>
    <s v="teacher378@school.edu"/>
    <n v="10"/>
    <s v="No"/>
    <n v="0"/>
    <n v="1"/>
    <n v="28"/>
    <x v="2"/>
  </r>
  <r>
    <s v="T0379"/>
    <x v="27"/>
    <s v="Female"/>
    <n v="36"/>
    <s v="International School"/>
    <s v="English"/>
    <x v="3"/>
    <s v="Technology"/>
    <x v="0"/>
    <d v="2024-06-11T00:00:00"/>
    <d v="2024-06-23T00:00:00"/>
    <x v="2"/>
    <n v="20"/>
    <m/>
    <s v="No"/>
    <n v="47"/>
    <s v="East"/>
    <x v="0"/>
    <s v="teacher379@school.edu"/>
    <n v="28"/>
    <s v="No"/>
    <n v="0"/>
    <n v="1"/>
    <n v="12"/>
    <x v="3"/>
  </r>
  <r>
    <s v="T0380"/>
    <x v="20"/>
    <s v="Male"/>
    <n v="29"/>
    <s v="Govt High School"/>
    <s v="Computer Science"/>
    <x v="2"/>
    <s v="Technology"/>
    <x v="2"/>
    <d v="2024-03-21T00:00:00"/>
    <d v="2024-05-10T00:00:00"/>
    <x v="0"/>
    <n v="61"/>
    <m/>
    <s v="No"/>
    <n v="51"/>
    <s v="East"/>
    <x v="0"/>
    <s v="teacher380@school.edu"/>
    <n v="17"/>
    <s v="No"/>
    <n v="0"/>
    <n v="1"/>
    <n v="50"/>
    <x v="1"/>
  </r>
  <r>
    <s v="T0381"/>
    <x v="4"/>
    <s v="Male"/>
    <n v="44"/>
    <s v="Govt High School"/>
    <s v="English"/>
    <x v="1"/>
    <s v="Professional Development"/>
    <x v="1"/>
    <d v="2024-07-28T00:00:00"/>
    <d v="2024-08-28T00:00:00"/>
    <x v="0"/>
    <n v="51"/>
    <m/>
    <s v="No"/>
    <n v="46"/>
    <s v="East"/>
    <x v="2"/>
    <s v="teacher381@school.edu"/>
    <n v="29"/>
    <s v="No"/>
    <n v="0"/>
    <n v="1"/>
    <n v="31"/>
    <x v="3"/>
  </r>
  <r>
    <s v="T0382"/>
    <x v="32"/>
    <s v="Female"/>
    <n v="41"/>
    <s v="International School"/>
    <s v="Computer Science"/>
    <x v="3"/>
    <s v="Assessment"/>
    <x v="0"/>
    <d v="2024-08-10T00:00:00"/>
    <d v="2024-08-16T00:00:00"/>
    <x v="1"/>
    <n v="52"/>
    <n v="57"/>
    <s v="Yes"/>
    <n v="24"/>
    <s v="West"/>
    <x v="4"/>
    <s v="teacher382@school.edu"/>
    <n v="6"/>
    <s v="Yes"/>
    <n v="1"/>
    <n v="1"/>
    <n v="6"/>
    <x v="2"/>
  </r>
  <r>
    <s v="T0383"/>
    <x v="29"/>
    <s v="Female"/>
    <n v="33"/>
    <s v="Govt High School"/>
    <s v="Computer Science"/>
    <x v="2"/>
    <s v="Professional Development"/>
    <x v="0"/>
    <d v="2024-04-14T00:00:00"/>
    <d v="2024-04-26T00:00:00"/>
    <x v="1"/>
    <n v="82"/>
    <n v="96"/>
    <s v="Yes"/>
    <n v="37"/>
    <s v="South"/>
    <x v="4"/>
    <s v="teacher383@school.edu"/>
    <n v="12"/>
    <s v="Yes"/>
    <n v="1"/>
    <n v="1"/>
    <n v="12"/>
    <x v="1"/>
  </r>
  <r>
    <s v="T0384"/>
    <x v="27"/>
    <s v="Male"/>
    <n v="30"/>
    <s v="Central School"/>
    <s v="Social Science"/>
    <x v="1"/>
    <s v="Pedagogy"/>
    <x v="1"/>
    <d v="2024-07-15T00:00:00"/>
    <d v="2024-08-13T00:00:00"/>
    <x v="2"/>
    <n v="39"/>
    <m/>
    <s v="No"/>
    <n v="16"/>
    <s v="West"/>
    <x v="2"/>
    <s v="teacher384@school.edu"/>
    <n v="19"/>
    <s v="No"/>
    <n v="0"/>
    <n v="1"/>
    <n v="29"/>
    <x v="1"/>
  </r>
  <r>
    <s v="T0385"/>
    <x v="21"/>
    <s v="Female"/>
    <n v="58"/>
    <s v="International School"/>
    <s v="Science"/>
    <x v="0"/>
    <s v="Pedagogy"/>
    <x v="1"/>
    <d v="2024-07-31T00:00:00"/>
    <d v="2024-08-16T00:00:00"/>
    <x v="2"/>
    <n v="1"/>
    <m/>
    <s v="No"/>
    <n v="33"/>
    <s v="North"/>
    <x v="3"/>
    <s v="teacher385@school.edu"/>
    <n v="9"/>
    <s v="No"/>
    <n v="0"/>
    <n v="1"/>
    <n v="16"/>
    <x v="2"/>
  </r>
  <r>
    <s v="T0386"/>
    <x v="14"/>
    <s v="Male"/>
    <n v="59"/>
    <s v="Public School"/>
    <s v="Social Science"/>
    <x v="4"/>
    <s v="Pedagogy"/>
    <x v="1"/>
    <d v="2024-06-20T00:00:00"/>
    <d v="2024-08-15T00:00:00"/>
    <x v="0"/>
    <n v="71"/>
    <m/>
    <s v="No"/>
    <n v="7"/>
    <s v="North"/>
    <x v="2"/>
    <s v="teacher386@school.edu"/>
    <n v="21"/>
    <s v="No"/>
    <n v="0"/>
    <n v="1"/>
    <n v="56"/>
    <x v="3"/>
  </r>
  <r>
    <s v="T0387"/>
    <x v="26"/>
    <s v="Male"/>
    <n v="60"/>
    <s v="Central School"/>
    <s v="Social Science"/>
    <x v="0"/>
    <s v="Professional Development"/>
    <x v="0"/>
    <d v="2024-06-26T00:00:00"/>
    <d v="2024-07-13T00:00:00"/>
    <x v="1"/>
    <n v="82"/>
    <n v="84"/>
    <s v="Yes"/>
    <n v="46"/>
    <s v="West"/>
    <x v="0"/>
    <s v="teacher387@school.edu"/>
    <n v="19"/>
    <s v="Yes"/>
    <n v="1"/>
    <n v="1"/>
    <n v="17"/>
    <x v="1"/>
  </r>
  <r>
    <s v="T0388"/>
    <x v="29"/>
    <s v="Male"/>
    <n v="30"/>
    <s v="Central School"/>
    <s v="Computer Science"/>
    <x v="3"/>
    <s v="Pedagogy"/>
    <x v="1"/>
    <d v="2024-10-16T00:00:00"/>
    <d v="2024-12-06T00:00:00"/>
    <x v="2"/>
    <n v="0"/>
    <m/>
    <s v="No"/>
    <n v="24"/>
    <s v="South"/>
    <x v="1"/>
    <s v="teacher388@school.edu"/>
    <n v="20"/>
    <s v="No"/>
    <n v="0"/>
    <n v="1"/>
    <n v="51"/>
    <x v="1"/>
  </r>
  <r>
    <s v="T0389"/>
    <x v="18"/>
    <s v="Female"/>
    <n v="60"/>
    <s v="International School"/>
    <s v="Social Science"/>
    <x v="3"/>
    <s v="Assessment"/>
    <x v="0"/>
    <d v="2024-06-15T00:00:00"/>
    <d v="2024-07-14T00:00:00"/>
    <x v="1"/>
    <n v="59"/>
    <n v="71"/>
    <s v="Yes"/>
    <n v="43"/>
    <s v="South"/>
    <x v="2"/>
    <s v="teacher389@school.edu"/>
    <n v="19"/>
    <s v="Yes"/>
    <n v="1"/>
    <n v="1"/>
    <n v="29"/>
    <x v="1"/>
  </r>
  <r>
    <s v="T0390"/>
    <x v="38"/>
    <s v="Female"/>
    <n v="53"/>
    <s v="Govt High School"/>
    <s v="Maths"/>
    <x v="3"/>
    <s v="Assessment"/>
    <x v="2"/>
    <d v="2024-08-31T00:00:00"/>
    <d v="2024-10-14T00:00:00"/>
    <x v="1"/>
    <n v="56"/>
    <n v="69"/>
    <s v="Yes"/>
    <n v="19"/>
    <s v="North"/>
    <x v="3"/>
    <s v="teacher390@school.edu"/>
    <n v="15"/>
    <s v="Yes"/>
    <n v="1"/>
    <n v="1"/>
    <n v="44"/>
    <x v="1"/>
  </r>
  <r>
    <s v="T0391"/>
    <x v="28"/>
    <s v="Male"/>
    <n v="23"/>
    <s v="Central School"/>
    <s v="Science"/>
    <x v="4"/>
    <s v="Assessment"/>
    <x v="1"/>
    <d v="2024-07-21T00:00:00"/>
    <d v="2024-09-18T00:00:00"/>
    <x v="1"/>
    <n v="96"/>
    <n v="75"/>
    <s v="Yes"/>
    <n v="23"/>
    <s v="South"/>
    <x v="4"/>
    <s v="teacher391@school.edu"/>
    <n v="3"/>
    <s v="Yes"/>
    <n v="1"/>
    <n v="1"/>
    <n v="59"/>
    <x v="0"/>
  </r>
  <r>
    <s v="T0392"/>
    <x v="22"/>
    <s v="Female"/>
    <n v="46"/>
    <s v="Govt High School"/>
    <s v="Science"/>
    <x v="0"/>
    <s v="Pedagogy"/>
    <x v="0"/>
    <d v="2024-09-16T00:00:00"/>
    <d v="2024-11-14T00:00:00"/>
    <x v="0"/>
    <n v="83"/>
    <m/>
    <s v="No"/>
    <n v="55"/>
    <s v="North"/>
    <x v="0"/>
    <s v="teacher392@school.edu"/>
    <n v="23"/>
    <s v="No"/>
    <n v="0"/>
    <n v="1"/>
    <n v="59"/>
    <x v="3"/>
  </r>
  <r>
    <s v="T0393"/>
    <x v="3"/>
    <s v="Male"/>
    <n v="23"/>
    <s v="International School"/>
    <s v="Computer Science"/>
    <x v="4"/>
    <s v="Technology"/>
    <x v="2"/>
    <d v="2024-06-09T00:00:00"/>
    <d v="2024-06-26T00:00:00"/>
    <x v="2"/>
    <n v="28"/>
    <m/>
    <s v="No"/>
    <n v="29"/>
    <s v="West"/>
    <x v="3"/>
    <s v="teacher393@school.edu"/>
    <n v="5"/>
    <s v="No"/>
    <n v="0"/>
    <n v="1"/>
    <n v="17"/>
    <x v="0"/>
  </r>
  <r>
    <s v="T0394"/>
    <x v="33"/>
    <s v="Female"/>
    <n v="36"/>
    <s v="Central School"/>
    <s v="Science"/>
    <x v="2"/>
    <s v="Assessment"/>
    <x v="1"/>
    <d v="2024-08-07T00:00:00"/>
    <d v="2024-09-08T00:00:00"/>
    <x v="1"/>
    <n v="96"/>
    <n v="93"/>
    <s v="Yes"/>
    <n v="49"/>
    <s v="North"/>
    <x v="0"/>
    <s v="teacher394@school.edu"/>
    <n v="4"/>
    <s v="Yes"/>
    <n v="1"/>
    <n v="1"/>
    <n v="32"/>
    <x v="0"/>
  </r>
  <r>
    <s v="T0395"/>
    <x v="8"/>
    <s v="Female"/>
    <n v="43"/>
    <s v="International School"/>
    <s v="Maths"/>
    <x v="0"/>
    <s v="Technology"/>
    <x v="2"/>
    <d v="2024-09-04T00:00:00"/>
    <d v="2024-10-28T00:00:00"/>
    <x v="0"/>
    <n v="54"/>
    <m/>
    <s v="No"/>
    <n v="34"/>
    <s v="South"/>
    <x v="4"/>
    <s v="teacher395@school.edu"/>
    <n v="28"/>
    <s v="No"/>
    <n v="0"/>
    <n v="1"/>
    <n v="54"/>
    <x v="3"/>
  </r>
  <r>
    <s v="T0396"/>
    <x v="13"/>
    <s v="Female"/>
    <n v="58"/>
    <s v="International School"/>
    <s v="Maths"/>
    <x v="2"/>
    <s v="Technology"/>
    <x v="1"/>
    <d v="2024-03-07T00:00:00"/>
    <d v="2024-04-08T00:00:00"/>
    <x v="0"/>
    <n v="61"/>
    <m/>
    <s v="No"/>
    <n v="47"/>
    <s v="South"/>
    <x v="1"/>
    <s v="teacher396@school.edu"/>
    <n v="32"/>
    <s v="No"/>
    <n v="0"/>
    <n v="1"/>
    <n v="32"/>
    <x v="3"/>
  </r>
  <r>
    <s v="T0397"/>
    <x v="34"/>
    <s v="Female"/>
    <n v="30"/>
    <s v="Govt High School"/>
    <s v="Computer Science"/>
    <x v="2"/>
    <s v="Technology"/>
    <x v="2"/>
    <d v="2024-05-09T00:00:00"/>
    <d v="2024-06-03T00:00:00"/>
    <x v="1"/>
    <n v="89"/>
    <n v="100"/>
    <s v="Yes"/>
    <n v="16"/>
    <s v="North"/>
    <x v="0"/>
    <s v="teacher397@school.edu"/>
    <n v="24"/>
    <s v="Yes"/>
    <n v="1"/>
    <n v="1"/>
    <n v="25"/>
    <x v="3"/>
  </r>
  <r>
    <s v="T0398"/>
    <x v="11"/>
    <s v="Male"/>
    <n v="27"/>
    <s v="Govt High School"/>
    <s v="Computer Science"/>
    <x v="3"/>
    <s v="Assessment"/>
    <x v="1"/>
    <d v="2024-01-19T00:00:00"/>
    <d v="2024-03-05T00:00:00"/>
    <x v="2"/>
    <n v="18"/>
    <m/>
    <s v="No"/>
    <n v="44"/>
    <s v="West"/>
    <x v="0"/>
    <s v="teacher398@school.edu"/>
    <n v="2"/>
    <s v="No"/>
    <n v="0"/>
    <n v="1"/>
    <n v="46"/>
    <x v="0"/>
  </r>
  <r>
    <s v="T0399"/>
    <x v="38"/>
    <s v="Male"/>
    <n v="43"/>
    <s v="Public School"/>
    <s v="Science"/>
    <x v="1"/>
    <s v="Pedagogy"/>
    <x v="1"/>
    <d v="2024-03-08T00:00:00"/>
    <d v="2024-04-12T00:00:00"/>
    <x v="0"/>
    <n v="87"/>
    <m/>
    <s v="No"/>
    <n v="36"/>
    <s v="West"/>
    <x v="1"/>
    <s v="teacher399@school.edu"/>
    <n v="4"/>
    <s v="No"/>
    <n v="0"/>
    <n v="1"/>
    <n v="35"/>
    <x v="0"/>
  </r>
  <r>
    <s v="T0400"/>
    <x v="25"/>
    <s v="Male"/>
    <n v="33"/>
    <s v="International School"/>
    <s v="Science"/>
    <x v="4"/>
    <s v="Technology"/>
    <x v="0"/>
    <d v="2024-07-08T00:00:00"/>
    <d v="2024-07-20T00:00:00"/>
    <x v="2"/>
    <n v="21"/>
    <m/>
    <s v="No"/>
    <n v="38"/>
    <s v="North"/>
    <x v="3"/>
    <s v="teacher400@school.edu"/>
    <n v="30"/>
    <s v="No"/>
    <n v="0"/>
    <n v="1"/>
    <n v="12"/>
    <x v="3"/>
  </r>
  <r>
    <s v="T0401"/>
    <x v="11"/>
    <s v="Female"/>
    <n v="43"/>
    <s v="International School"/>
    <s v="Computer Science"/>
    <x v="0"/>
    <s v="Pedagogy"/>
    <x v="2"/>
    <d v="2024-10-23T00:00:00"/>
    <d v="2024-12-15T00:00:00"/>
    <x v="0"/>
    <n v="80"/>
    <m/>
    <s v="No"/>
    <n v="28"/>
    <s v="South"/>
    <x v="1"/>
    <s v="teacher401@school.edu"/>
    <n v="19"/>
    <s v="No"/>
    <n v="0"/>
    <n v="1"/>
    <n v="53"/>
    <x v="1"/>
  </r>
  <r>
    <s v="T0402"/>
    <x v="4"/>
    <s v="Male"/>
    <n v="36"/>
    <s v="Central School"/>
    <s v="Maths"/>
    <x v="4"/>
    <s v="Technology"/>
    <x v="2"/>
    <d v="2024-09-21T00:00:00"/>
    <d v="2024-11-20T00:00:00"/>
    <x v="2"/>
    <n v="17"/>
    <m/>
    <s v="No"/>
    <n v="9"/>
    <s v="East"/>
    <x v="1"/>
    <s v="teacher402@school.edu"/>
    <n v="6"/>
    <s v="No"/>
    <n v="0"/>
    <n v="1"/>
    <n v="60"/>
    <x v="2"/>
  </r>
  <r>
    <s v="T0403"/>
    <x v="31"/>
    <s v="Female"/>
    <n v="50"/>
    <s v="International School"/>
    <s v="English"/>
    <x v="2"/>
    <s v="Technology"/>
    <x v="2"/>
    <d v="2024-07-06T00:00:00"/>
    <d v="2024-08-22T00:00:00"/>
    <x v="2"/>
    <n v="34"/>
    <m/>
    <s v="No"/>
    <n v="55"/>
    <s v="East"/>
    <x v="2"/>
    <s v="teacher403@school.edu"/>
    <n v="21"/>
    <s v="No"/>
    <n v="0"/>
    <n v="1"/>
    <n v="47"/>
    <x v="3"/>
  </r>
  <r>
    <s v="T0404"/>
    <x v="1"/>
    <s v="Male"/>
    <n v="45"/>
    <s v="Govt High School"/>
    <s v="Computer Science"/>
    <x v="0"/>
    <s v="Technology"/>
    <x v="0"/>
    <d v="2024-03-19T00:00:00"/>
    <d v="2024-05-05T00:00:00"/>
    <x v="0"/>
    <n v="58"/>
    <m/>
    <s v="No"/>
    <n v="38"/>
    <s v="North"/>
    <x v="4"/>
    <s v="teacher404@school.edu"/>
    <n v="21"/>
    <s v="No"/>
    <n v="0"/>
    <n v="1"/>
    <n v="47"/>
    <x v="3"/>
  </r>
  <r>
    <s v="T0405"/>
    <x v="0"/>
    <s v="Female"/>
    <n v="29"/>
    <s v="Central School"/>
    <s v="Computer Science"/>
    <x v="3"/>
    <s v="Technology"/>
    <x v="2"/>
    <d v="2024-10-24T00:00:00"/>
    <d v="2024-12-21T00:00:00"/>
    <x v="1"/>
    <n v="69"/>
    <n v="67"/>
    <s v="Yes"/>
    <n v="19"/>
    <s v="West"/>
    <x v="0"/>
    <s v="teacher405@school.edu"/>
    <n v="3"/>
    <s v="Yes"/>
    <n v="1"/>
    <n v="1"/>
    <n v="58"/>
    <x v="0"/>
  </r>
  <r>
    <s v="T0406"/>
    <x v="34"/>
    <s v="Female"/>
    <n v="45"/>
    <s v="Central School"/>
    <s v="Maths"/>
    <x v="0"/>
    <s v="Assessment"/>
    <x v="1"/>
    <d v="2024-03-28T00:00:00"/>
    <d v="2024-04-14T00:00:00"/>
    <x v="1"/>
    <n v="86"/>
    <n v="73"/>
    <s v="Yes"/>
    <n v="29"/>
    <s v="South"/>
    <x v="0"/>
    <s v="teacher406@school.edu"/>
    <n v="23"/>
    <s v="Yes"/>
    <n v="1"/>
    <n v="1"/>
    <n v="17"/>
    <x v="3"/>
  </r>
  <r>
    <s v="T0407"/>
    <x v="38"/>
    <s v="Female"/>
    <n v="59"/>
    <s v="Central School"/>
    <s v="Maths"/>
    <x v="1"/>
    <s v="Assessment"/>
    <x v="1"/>
    <d v="2024-10-09T00:00:00"/>
    <d v="2024-10-29T00:00:00"/>
    <x v="0"/>
    <n v="79"/>
    <m/>
    <s v="No"/>
    <n v="46"/>
    <s v="South"/>
    <x v="2"/>
    <s v="teacher407@school.edu"/>
    <n v="9"/>
    <s v="No"/>
    <n v="0"/>
    <n v="1"/>
    <n v="20"/>
    <x v="2"/>
  </r>
  <r>
    <s v="T0408"/>
    <x v="37"/>
    <s v="Female"/>
    <n v="42"/>
    <s v="Public School"/>
    <s v="Social Science"/>
    <x v="2"/>
    <s v="Technology"/>
    <x v="0"/>
    <d v="2024-02-13T00:00:00"/>
    <d v="2024-04-10T00:00:00"/>
    <x v="1"/>
    <n v="95"/>
    <n v="89"/>
    <s v="Yes"/>
    <n v="9"/>
    <s v="East"/>
    <x v="0"/>
    <s v="teacher408@school.edu"/>
    <n v="22"/>
    <s v="Yes"/>
    <n v="1"/>
    <n v="1"/>
    <n v="57"/>
    <x v="3"/>
  </r>
  <r>
    <s v="T0409"/>
    <x v="15"/>
    <s v="Male"/>
    <n v="23"/>
    <s v="Central School"/>
    <s v="Maths"/>
    <x v="2"/>
    <s v="Technology"/>
    <x v="2"/>
    <d v="2024-08-25T00:00:00"/>
    <d v="2024-09-13T00:00:00"/>
    <x v="1"/>
    <n v="68"/>
    <n v="89"/>
    <s v="Yes"/>
    <n v="11"/>
    <s v="South"/>
    <x v="3"/>
    <s v="teacher409@school.edu"/>
    <n v="16"/>
    <s v="Yes"/>
    <n v="1"/>
    <n v="1"/>
    <n v="19"/>
    <x v="1"/>
  </r>
  <r>
    <s v="T0410"/>
    <x v="27"/>
    <s v="Male"/>
    <n v="54"/>
    <s v="Public School"/>
    <s v="Science"/>
    <x v="1"/>
    <s v="Pedagogy"/>
    <x v="0"/>
    <d v="2024-06-24T00:00:00"/>
    <d v="2024-08-09T00:00:00"/>
    <x v="2"/>
    <n v="8"/>
    <m/>
    <s v="No"/>
    <n v="21"/>
    <s v="North"/>
    <x v="2"/>
    <s v="teacher410@school.edu"/>
    <n v="10"/>
    <s v="No"/>
    <n v="0"/>
    <n v="1"/>
    <n v="46"/>
    <x v="2"/>
  </r>
  <r>
    <s v="T0411"/>
    <x v="13"/>
    <s v="Male"/>
    <n v="56"/>
    <s v="Central School"/>
    <s v="Social Science"/>
    <x v="1"/>
    <s v="Pedagogy"/>
    <x v="1"/>
    <d v="2024-02-01T00:00:00"/>
    <d v="2024-03-05T00:00:00"/>
    <x v="2"/>
    <n v="34"/>
    <m/>
    <s v="No"/>
    <n v="37"/>
    <s v="West"/>
    <x v="2"/>
    <s v="teacher411@school.edu"/>
    <n v="26"/>
    <s v="No"/>
    <n v="0"/>
    <n v="1"/>
    <n v="33"/>
    <x v="3"/>
  </r>
  <r>
    <s v="T0412"/>
    <x v="27"/>
    <s v="Male"/>
    <n v="54"/>
    <s v="Govt High School"/>
    <s v="Maths"/>
    <x v="3"/>
    <s v="Assessment"/>
    <x v="0"/>
    <d v="2024-01-14T00:00:00"/>
    <d v="2024-02-16T00:00:00"/>
    <x v="0"/>
    <n v="61"/>
    <m/>
    <s v="No"/>
    <n v="46"/>
    <s v="South"/>
    <x v="4"/>
    <s v="teacher412@school.edu"/>
    <n v="33"/>
    <s v="No"/>
    <n v="0"/>
    <n v="1"/>
    <n v="33"/>
    <x v="3"/>
  </r>
  <r>
    <s v="T0413"/>
    <x v="36"/>
    <s v="Female"/>
    <n v="59"/>
    <s v="Central School"/>
    <s v="Science"/>
    <x v="3"/>
    <s v="Professional Development"/>
    <x v="1"/>
    <d v="2024-02-11T00:00:00"/>
    <d v="2024-03-26T00:00:00"/>
    <x v="1"/>
    <n v="55"/>
    <n v="72"/>
    <s v="Yes"/>
    <n v="48"/>
    <s v="North"/>
    <x v="2"/>
    <s v="teacher413@school.edu"/>
    <n v="26"/>
    <s v="Yes"/>
    <n v="1"/>
    <n v="1"/>
    <n v="44"/>
    <x v="3"/>
  </r>
  <r>
    <s v="T0414"/>
    <x v="4"/>
    <s v="Female"/>
    <n v="42"/>
    <s v="International School"/>
    <s v="Science"/>
    <x v="3"/>
    <s v="Technology"/>
    <x v="1"/>
    <d v="2024-04-28T00:00:00"/>
    <d v="2024-06-05T00:00:00"/>
    <x v="1"/>
    <n v="52"/>
    <n v="52"/>
    <s v="Yes"/>
    <n v="27"/>
    <s v="West"/>
    <x v="0"/>
    <s v="teacher414@school.edu"/>
    <n v="12"/>
    <s v="Yes"/>
    <n v="1"/>
    <n v="1"/>
    <n v="38"/>
    <x v="1"/>
  </r>
  <r>
    <s v="T0415"/>
    <x v="28"/>
    <s v="Male"/>
    <n v="27"/>
    <s v="Govt High School"/>
    <s v="English"/>
    <x v="1"/>
    <s v="Technology"/>
    <x v="2"/>
    <d v="2024-09-07T00:00:00"/>
    <d v="2024-10-14T00:00:00"/>
    <x v="2"/>
    <n v="8"/>
    <m/>
    <s v="No"/>
    <n v="24"/>
    <s v="North"/>
    <x v="1"/>
    <s v="teacher415@school.edu"/>
    <n v="23"/>
    <s v="No"/>
    <n v="0"/>
    <n v="1"/>
    <n v="37"/>
    <x v="3"/>
  </r>
  <r>
    <s v="T0416"/>
    <x v="37"/>
    <s v="Female"/>
    <n v="36"/>
    <s v="International School"/>
    <s v="English"/>
    <x v="0"/>
    <s v="Technology"/>
    <x v="2"/>
    <d v="2024-02-04T00:00:00"/>
    <d v="2024-02-16T00:00:00"/>
    <x v="2"/>
    <n v="19"/>
    <m/>
    <s v="No"/>
    <n v="20"/>
    <s v="South"/>
    <x v="2"/>
    <s v="teacher416@school.edu"/>
    <n v="20"/>
    <s v="No"/>
    <n v="0"/>
    <n v="1"/>
    <n v="12"/>
    <x v="1"/>
  </r>
  <r>
    <s v="T0417"/>
    <x v="17"/>
    <s v="Male"/>
    <n v="43"/>
    <s v="International School"/>
    <s v="Computer Science"/>
    <x v="0"/>
    <s v="Technology"/>
    <x v="1"/>
    <d v="2024-09-15T00:00:00"/>
    <d v="2024-10-18T00:00:00"/>
    <x v="1"/>
    <n v="90"/>
    <n v="82"/>
    <s v="Yes"/>
    <n v="17"/>
    <s v="North"/>
    <x v="1"/>
    <s v="teacher417@school.edu"/>
    <n v="11"/>
    <s v="Yes"/>
    <n v="1"/>
    <n v="1"/>
    <n v="33"/>
    <x v="1"/>
  </r>
  <r>
    <s v="T0418"/>
    <x v="2"/>
    <s v="Male"/>
    <n v="48"/>
    <s v="Public School"/>
    <s v="Science"/>
    <x v="1"/>
    <s v="Pedagogy"/>
    <x v="1"/>
    <d v="2024-09-22T00:00:00"/>
    <d v="2024-10-04T00:00:00"/>
    <x v="1"/>
    <n v="59"/>
    <n v="57"/>
    <s v="Yes"/>
    <n v="49"/>
    <s v="South"/>
    <x v="0"/>
    <s v="teacher418@school.edu"/>
    <n v="27"/>
    <s v="Yes"/>
    <n v="1"/>
    <n v="1"/>
    <n v="12"/>
    <x v="3"/>
  </r>
  <r>
    <s v="T0419"/>
    <x v="18"/>
    <s v="Female"/>
    <n v="56"/>
    <s v="Public School"/>
    <s v="Social Science"/>
    <x v="3"/>
    <s v="Assessment"/>
    <x v="0"/>
    <d v="2024-06-20T00:00:00"/>
    <d v="2024-07-17T00:00:00"/>
    <x v="2"/>
    <n v="21"/>
    <m/>
    <s v="No"/>
    <n v="24"/>
    <s v="South"/>
    <x v="3"/>
    <s v="teacher419@school.edu"/>
    <n v="34"/>
    <s v="No"/>
    <n v="0"/>
    <n v="1"/>
    <n v="27"/>
    <x v="3"/>
  </r>
  <r>
    <s v="T0420"/>
    <x v="22"/>
    <s v="Female"/>
    <n v="28"/>
    <s v="Public School"/>
    <s v="Computer Science"/>
    <x v="2"/>
    <s v="Technology"/>
    <x v="0"/>
    <d v="2024-09-07T00:00:00"/>
    <d v="2024-10-24T00:00:00"/>
    <x v="1"/>
    <n v="89"/>
    <n v="57"/>
    <s v="Yes"/>
    <n v="43"/>
    <s v="West"/>
    <x v="2"/>
    <s v="teacher420@school.edu"/>
    <n v="23"/>
    <s v="Yes"/>
    <n v="1"/>
    <n v="1"/>
    <n v="47"/>
    <x v="3"/>
  </r>
  <r>
    <s v="T0421"/>
    <x v="38"/>
    <s v="Male"/>
    <n v="53"/>
    <s v="Public School"/>
    <s v="Science"/>
    <x v="4"/>
    <s v="Professional Development"/>
    <x v="1"/>
    <d v="2024-02-04T00:00:00"/>
    <d v="2024-03-03T00:00:00"/>
    <x v="1"/>
    <n v="53"/>
    <n v="58"/>
    <s v="Yes"/>
    <n v="59"/>
    <s v="South"/>
    <x v="2"/>
    <s v="teacher421@school.edu"/>
    <n v="7"/>
    <s v="Yes"/>
    <n v="1"/>
    <n v="1"/>
    <n v="28"/>
    <x v="2"/>
  </r>
  <r>
    <s v="T0422"/>
    <x v="34"/>
    <s v="Male"/>
    <n v="28"/>
    <s v="Central School"/>
    <s v="Computer Science"/>
    <x v="2"/>
    <s v="Assessment"/>
    <x v="0"/>
    <d v="2024-02-25T00:00:00"/>
    <d v="2024-03-10T00:00:00"/>
    <x v="2"/>
    <n v="40"/>
    <m/>
    <s v="No"/>
    <n v="41"/>
    <s v="South"/>
    <x v="3"/>
    <s v="teacher422@school.edu"/>
    <n v="12"/>
    <s v="No"/>
    <n v="0"/>
    <n v="1"/>
    <n v="14"/>
    <x v="1"/>
  </r>
  <r>
    <s v="T0423"/>
    <x v="35"/>
    <s v="Female"/>
    <n v="30"/>
    <s v="Central School"/>
    <s v="Maths"/>
    <x v="4"/>
    <s v="Professional Development"/>
    <x v="2"/>
    <d v="2024-02-09T00:00:00"/>
    <d v="2024-02-25T00:00:00"/>
    <x v="0"/>
    <n v="69"/>
    <m/>
    <s v="No"/>
    <n v="53"/>
    <s v="South"/>
    <x v="1"/>
    <s v="teacher423@school.edu"/>
    <n v="4"/>
    <s v="No"/>
    <n v="0"/>
    <n v="1"/>
    <n v="16"/>
    <x v="0"/>
  </r>
  <r>
    <s v="T0424"/>
    <x v="19"/>
    <s v="Male"/>
    <n v="29"/>
    <s v="International School"/>
    <s v="Computer Science"/>
    <x v="2"/>
    <s v="Technology"/>
    <x v="0"/>
    <d v="2024-05-02T00:00:00"/>
    <d v="2024-06-30T00:00:00"/>
    <x v="1"/>
    <n v="48"/>
    <n v="77"/>
    <s v="Yes"/>
    <n v="14"/>
    <s v="South"/>
    <x v="3"/>
    <s v="teacher424@school.edu"/>
    <n v="12"/>
    <s v="Yes"/>
    <n v="1"/>
    <n v="1"/>
    <n v="59"/>
    <x v="1"/>
  </r>
  <r>
    <s v="T0425"/>
    <x v="16"/>
    <s v="Female"/>
    <n v="24"/>
    <s v="International School"/>
    <s v="Computer Science"/>
    <x v="4"/>
    <s v="Professional Development"/>
    <x v="2"/>
    <d v="2024-03-24T00:00:00"/>
    <d v="2024-05-19T00:00:00"/>
    <x v="0"/>
    <n v="65"/>
    <m/>
    <s v="No"/>
    <n v="24"/>
    <s v="South"/>
    <x v="0"/>
    <s v="teacher425@school.edu"/>
    <n v="14"/>
    <s v="No"/>
    <n v="0"/>
    <n v="1"/>
    <n v="56"/>
    <x v="1"/>
  </r>
  <r>
    <s v="T0426"/>
    <x v="20"/>
    <s v="Female"/>
    <n v="32"/>
    <s v="Central School"/>
    <s v="English"/>
    <x v="4"/>
    <s v="Technology"/>
    <x v="2"/>
    <d v="2024-05-31T00:00:00"/>
    <d v="2024-06-22T00:00:00"/>
    <x v="2"/>
    <n v="14"/>
    <m/>
    <s v="No"/>
    <n v="24"/>
    <s v="East"/>
    <x v="2"/>
    <s v="teacher426@school.edu"/>
    <n v="29"/>
    <s v="No"/>
    <n v="0"/>
    <n v="1"/>
    <n v="22"/>
    <x v="3"/>
  </r>
  <r>
    <s v="T0427"/>
    <x v="0"/>
    <s v="Female"/>
    <n v="38"/>
    <s v="Central School"/>
    <s v="Maths"/>
    <x v="3"/>
    <s v="Professional Development"/>
    <x v="0"/>
    <d v="2024-06-06T00:00:00"/>
    <d v="2024-06-25T00:00:00"/>
    <x v="0"/>
    <n v="42"/>
    <m/>
    <s v="No"/>
    <n v="36"/>
    <s v="East"/>
    <x v="4"/>
    <s v="teacher427@school.edu"/>
    <n v="10"/>
    <s v="No"/>
    <n v="0"/>
    <n v="1"/>
    <n v="19"/>
    <x v="2"/>
  </r>
  <r>
    <s v="T0428"/>
    <x v="0"/>
    <s v="Male"/>
    <n v="55"/>
    <s v="International School"/>
    <s v="Computer Science"/>
    <x v="4"/>
    <s v="Pedagogy"/>
    <x v="0"/>
    <d v="2024-08-24T00:00:00"/>
    <d v="2024-09-29T00:00:00"/>
    <x v="2"/>
    <n v="31"/>
    <m/>
    <s v="No"/>
    <n v="33"/>
    <s v="South"/>
    <x v="0"/>
    <s v="teacher428@school.edu"/>
    <n v="32"/>
    <s v="No"/>
    <n v="0"/>
    <n v="1"/>
    <n v="36"/>
    <x v="3"/>
  </r>
  <r>
    <s v="T0429"/>
    <x v="11"/>
    <s v="Male"/>
    <n v="55"/>
    <s v="Central School"/>
    <s v="English"/>
    <x v="4"/>
    <s v="Pedagogy"/>
    <x v="1"/>
    <d v="2024-03-10T00:00:00"/>
    <d v="2024-03-26T00:00:00"/>
    <x v="1"/>
    <n v="54"/>
    <n v="67"/>
    <s v="Yes"/>
    <n v="39"/>
    <s v="East"/>
    <x v="2"/>
    <s v="teacher429@school.edu"/>
    <n v="12"/>
    <s v="Yes"/>
    <n v="1"/>
    <n v="1"/>
    <n v="16"/>
    <x v="1"/>
  </r>
  <r>
    <s v="T0430"/>
    <x v="18"/>
    <s v="Male"/>
    <n v="50"/>
    <s v="Central School"/>
    <s v="Maths"/>
    <x v="3"/>
    <s v="Pedagogy"/>
    <x v="2"/>
    <d v="2024-02-27T00:00:00"/>
    <d v="2024-04-03T00:00:00"/>
    <x v="1"/>
    <n v="88"/>
    <n v="78"/>
    <s v="Yes"/>
    <n v="46"/>
    <s v="West"/>
    <x v="1"/>
    <s v="teacher430@school.edu"/>
    <n v="29"/>
    <s v="Yes"/>
    <n v="1"/>
    <n v="1"/>
    <n v="36"/>
    <x v="3"/>
  </r>
  <r>
    <s v="T0431"/>
    <x v="20"/>
    <s v="Female"/>
    <n v="48"/>
    <s v="Public School"/>
    <s v="Social Science"/>
    <x v="3"/>
    <s v="Professional Development"/>
    <x v="1"/>
    <d v="2024-10-11T00:00:00"/>
    <d v="2024-12-10T00:00:00"/>
    <x v="0"/>
    <n v="40"/>
    <m/>
    <s v="No"/>
    <n v="57"/>
    <s v="West"/>
    <x v="2"/>
    <s v="teacher431@school.edu"/>
    <n v="26"/>
    <s v="No"/>
    <n v="0"/>
    <n v="1"/>
    <n v="60"/>
    <x v="3"/>
  </r>
  <r>
    <s v="T0432"/>
    <x v="4"/>
    <s v="Male"/>
    <n v="30"/>
    <s v="Govt High School"/>
    <s v="Maths"/>
    <x v="0"/>
    <s v="Technology"/>
    <x v="0"/>
    <d v="2024-01-19T00:00:00"/>
    <d v="2024-03-19T00:00:00"/>
    <x v="1"/>
    <n v="95"/>
    <n v="58"/>
    <s v="Yes"/>
    <n v="32"/>
    <s v="North"/>
    <x v="3"/>
    <s v="teacher432@school.edu"/>
    <n v="8"/>
    <s v="Yes"/>
    <n v="1"/>
    <n v="1"/>
    <n v="60"/>
    <x v="2"/>
  </r>
  <r>
    <s v="T0433"/>
    <x v="34"/>
    <s v="Male"/>
    <n v="30"/>
    <s v="Public School"/>
    <s v="Science"/>
    <x v="3"/>
    <s v="Pedagogy"/>
    <x v="1"/>
    <d v="2024-07-26T00:00:00"/>
    <d v="2024-08-28T00:00:00"/>
    <x v="0"/>
    <n v="69"/>
    <m/>
    <s v="No"/>
    <n v="24"/>
    <s v="East"/>
    <x v="2"/>
    <s v="teacher433@school.edu"/>
    <n v="3"/>
    <s v="No"/>
    <n v="0"/>
    <n v="1"/>
    <n v="33"/>
    <x v="0"/>
  </r>
  <r>
    <s v="T0434"/>
    <x v="0"/>
    <s v="Male"/>
    <n v="43"/>
    <s v="International School"/>
    <s v="Maths"/>
    <x v="3"/>
    <s v="Pedagogy"/>
    <x v="1"/>
    <d v="2024-09-16T00:00:00"/>
    <d v="2024-11-12T00:00:00"/>
    <x v="2"/>
    <n v="17"/>
    <m/>
    <s v="No"/>
    <n v="17"/>
    <s v="South"/>
    <x v="2"/>
    <s v="teacher434@school.edu"/>
    <n v="20"/>
    <s v="No"/>
    <n v="0"/>
    <n v="1"/>
    <n v="57"/>
    <x v="1"/>
  </r>
  <r>
    <s v="T0435"/>
    <x v="2"/>
    <s v="Male"/>
    <n v="58"/>
    <s v="Public School"/>
    <s v="Maths"/>
    <x v="0"/>
    <s v="Pedagogy"/>
    <x v="0"/>
    <d v="2024-05-30T00:00:00"/>
    <d v="2024-07-28T00:00:00"/>
    <x v="2"/>
    <n v="0"/>
    <m/>
    <s v="No"/>
    <n v="18"/>
    <s v="South"/>
    <x v="3"/>
    <s v="teacher435@school.edu"/>
    <n v="13"/>
    <s v="No"/>
    <n v="0"/>
    <n v="1"/>
    <n v="59"/>
    <x v="1"/>
  </r>
  <r>
    <s v="T0436"/>
    <x v="23"/>
    <s v="Female"/>
    <n v="47"/>
    <s v="Govt High School"/>
    <s v="English"/>
    <x v="1"/>
    <s v="Technology"/>
    <x v="1"/>
    <d v="2024-10-21T00:00:00"/>
    <d v="2024-11-10T00:00:00"/>
    <x v="2"/>
    <n v="32"/>
    <m/>
    <s v="No"/>
    <n v="57"/>
    <s v="South"/>
    <x v="3"/>
    <s v="teacher436@school.edu"/>
    <n v="19"/>
    <s v="No"/>
    <n v="0"/>
    <n v="1"/>
    <n v="20"/>
    <x v="1"/>
  </r>
  <r>
    <s v="T0437"/>
    <x v="31"/>
    <s v="Male"/>
    <n v="29"/>
    <s v="Public School"/>
    <s v="Maths"/>
    <x v="1"/>
    <s v="Pedagogy"/>
    <x v="0"/>
    <d v="2024-08-16T00:00:00"/>
    <d v="2024-09-07T00:00:00"/>
    <x v="2"/>
    <n v="24"/>
    <m/>
    <s v="No"/>
    <n v="55"/>
    <s v="South"/>
    <x v="0"/>
    <s v="teacher437@school.edu"/>
    <n v="5"/>
    <s v="No"/>
    <n v="0"/>
    <n v="1"/>
    <n v="22"/>
    <x v="0"/>
  </r>
  <r>
    <s v="T0438"/>
    <x v="28"/>
    <s v="Female"/>
    <n v="43"/>
    <s v="Govt High School"/>
    <s v="Social Science"/>
    <x v="3"/>
    <s v="Pedagogy"/>
    <x v="0"/>
    <d v="2024-05-06T00:00:00"/>
    <d v="2024-06-09T00:00:00"/>
    <x v="2"/>
    <n v="37"/>
    <m/>
    <s v="No"/>
    <n v="58"/>
    <s v="East"/>
    <x v="0"/>
    <s v="teacher438@school.edu"/>
    <n v="17"/>
    <s v="No"/>
    <n v="0"/>
    <n v="1"/>
    <n v="34"/>
    <x v="1"/>
  </r>
  <r>
    <s v="T0439"/>
    <x v="27"/>
    <s v="Female"/>
    <n v="57"/>
    <s v="International School"/>
    <s v="Science"/>
    <x v="0"/>
    <s v="Assessment"/>
    <x v="1"/>
    <d v="2024-08-29T00:00:00"/>
    <d v="2024-09-06T00:00:00"/>
    <x v="1"/>
    <n v="90"/>
    <n v="99"/>
    <s v="Yes"/>
    <n v="48"/>
    <s v="West"/>
    <x v="2"/>
    <s v="teacher439@school.edu"/>
    <n v="19"/>
    <s v="Yes"/>
    <n v="1"/>
    <n v="1"/>
    <n v="8"/>
    <x v="1"/>
  </r>
  <r>
    <s v="T0440"/>
    <x v="6"/>
    <s v="Male"/>
    <n v="55"/>
    <s v="International School"/>
    <s v="Computer Science"/>
    <x v="4"/>
    <s v="Pedagogy"/>
    <x v="1"/>
    <d v="2024-10-13T00:00:00"/>
    <d v="2024-10-23T00:00:00"/>
    <x v="0"/>
    <n v="61"/>
    <m/>
    <s v="No"/>
    <n v="44"/>
    <s v="North"/>
    <x v="1"/>
    <s v="teacher440@school.edu"/>
    <n v="29"/>
    <s v="No"/>
    <n v="0"/>
    <n v="1"/>
    <n v="10"/>
    <x v="3"/>
  </r>
  <r>
    <s v="T0441"/>
    <x v="38"/>
    <s v="Male"/>
    <n v="52"/>
    <s v="Govt High School"/>
    <s v="Social Science"/>
    <x v="3"/>
    <s v="Pedagogy"/>
    <x v="2"/>
    <d v="2024-05-06T00:00:00"/>
    <d v="2024-05-21T00:00:00"/>
    <x v="1"/>
    <n v="62"/>
    <n v="50"/>
    <s v="Yes"/>
    <n v="30"/>
    <s v="South"/>
    <x v="3"/>
    <s v="teacher441@school.edu"/>
    <n v="20"/>
    <s v="Yes"/>
    <n v="1"/>
    <n v="1"/>
    <n v="15"/>
    <x v="1"/>
  </r>
  <r>
    <s v="T0442"/>
    <x v="12"/>
    <s v="Female"/>
    <n v="50"/>
    <s v="International School"/>
    <s v="English"/>
    <x v="0"/>
    <s v="Pedagogy"/>
    <x v="2"/>
    <d v="2024-03-03T00:00:00"/>
    <d v="2024-03-21T00:00:00"/>
    <x v="1"/>
    <n v="82"/>
    <n v="85"/>
    <s v="Yes"/>
    <n v="30"/>
    <s v="East"/>
    <x v="0"/>
    <s v="teacher442@school.edu"/>
    <n v="3"/>
    <s v="Yes"/>
    <n v="1"/>
    <n v="1"/>
    <n v="18"/>
    <x v="0"/>
  </r>
  <r>
    <s v="T0443"/>
    <x v="8"/>
    <s v="Female"/>
    <n v="57"/>
    <s v="Public School"/>
    <s v="Computer Science"/>
    <x v="3"/>
    <s v="Professional Development"/>
    <x v="0"/>
    <d v="2024-03-13T00:00:00"/>
    <d v="2024-04-15T00:00:00"/>
    <x v="1"/>
    <n v="99"/>
    <n v="69"/>
    <s v="Yes"/>
    <n v="12"/>
    <s v="North"/>
    <x v="4"/>
    <s v="teacher443@school.edu"/>
    <n v="26"/>
    <s v="Yes"/>
    <n v="1"/>
    <n v="1"/>
    <n v="33"/>
    <x v="3"/>
  </r>
  <r>
    <s v="T0444"/>
    <x v="2"/>
    <s v="Female"/>
    <n v="58"/>
    <s v="Central School"/>
    <s v="Social Science"/>
    <x v="3"/>
    <s v="Technology"/>
    <x v="2"/>
    <d v="2024-07-16T00:00:00"/>
    <d v="2024-08-20T00:00:00"/>
    <x v="0"/>
    <n v="59"/>
    <m/>
    <s v="No"/>
    <n v="10"/>
    <s v="East"/>
    <x v="4"/>
    <s v="teacher444@school.edu"/>
    <n v="26"/>
    <s v="No"/>
    <n v="0"/>
    <n v="1"/>
    <n v="35"/>
    <x v="3"/>
  </r>
  <r>
    <s v="T0445"/>
    <x v="10"/>
    <s v="Female"/>
    <n v="36"/>
    <s v="Central School"/>
    <s v="Science"/>
    <x v="2"/>
    <s v="Assessment"/>
    <x v="0"/>
    <d v="2024-05-20T00:00:00"/>
    <d v="2024-06-20T00:00:00"/>
    <x v="0"/>
    <n v="67"/>
    <m/>
    <s v="No"/>
    <n v="11"/>
    <s v="West"/>
    <x v="2"/>
    <s v="teacher445@school.edu"/>
    <n v="14"/>
    <s v="No"/>
    <n v="0"/>
    <n v="1"/>
    <n v="31"/>
    <x v="1"/>
  </r>
  <r>
    <s v="T0446"/>
    <x v="39"/>
    <s v="Female"/>
    <n v="26"/>
    <s v="International School"/>
    <s v="Maths"/>
    <x v="3"/>
    <s v="Professional Development"/>
    <x v="0"/>
    <d v="2024-01-05T00:00:00"/>
    <d v="2024-02-17T00:00:00"/>
    <x v="2"/>
    <n v="0"/>
    <m/>
    <s v="No"/>
    <n v="38"/>
    <s v="East"/>
    <x v="0"/>
    <s v="teacher446@school.edu"/>
    <n v="33"/>
    <s v="No"/>
    <n v="0"/>
    <n v="1"/>
    <n v="43"/>
    <x v="3"/>
  </r>
  <r>
    <s v="T0447"/>
    <x v="37"/>
    <s v="Female"/>
    <n v="31"/>
    <s v="International School"/>
    <s v="Computer Science"/>
    <x v="4"/>
    <s v="Professional Development"/>
    <x v="0"/>
    <d v="2024-06-17T00:00:00"/>
    <d v="2024-07-22T00:00:00"/>
    <x v="1"/>
    <n v="49"/>
    <n v="78"/>
    <s v="Yes"/>
    <n v="22"/>
    <s v="North"/>
    <x v="3"/>
    <s v="teacher447@school.edu"/>
    <n v="31"/>
    <s v="Yes"/>
    <n v="1"/>
    <n v="1"/>
    <n v="35"/>
    <x v="3"/>
  </r>
  <r>
    <s v="T0448"/>
    <x v="10"/>
    <s v="Male"/>
    <n v="44"/>
    <s v="Public School"/>
    <s v="Social Science"/>
    <x v="0"/>
    <s v="Professional Development"/>
    <x v="2"/>
    <d v="2024-03-23T00:00:00"/>
    <d v="2024-03-30T00:00:00"/>
    <x v="2"/>
    <n v="13"/>
    <m/>
    <s v="No"/>
    <n v="51"/>
    <s v="North"/>
    <x v="0"/>
    <s v="teacher448@school.edu"/>
    <n v="11"/>
    <s v="No"/>
    <n v="0"/>
    <n v="1"/>
    <n v="7"/>
    <x v="1"/>
  </r>
  <r>
    <s v="T0449"/>
    <x v="3"/>
    <s v="Female"/>
    <n v="30"/>
    <s v="Public School"/>
    <s v="English"/>
    <x v="1"/>
    <s v="Assessment"/>
    <x v="2"/>
    <d v="2024-01-17T00:00:00"/>
    <d v="2024-03-03T00:00:00"/>
    <x v="0"/>
    <n v="100"/>
    <m/>
    <s v="No"/>
    <n v="23"/>
    <s v="North"/>
    <x v="4"/>
    <s v="teacher449@school.edu"/>
    <n v="7"/>
    <s v="No"/>
    <n v="0"/>
    <n v="1"/>
    <n v="46"/>
    <x v="2"/>
  </r>
  <r>
    <s v="T0450"/>
    <x v="21"/>
    <s v="Male"/>
    <n v="54"/>
    <s v="Govt High School"/>
    <s v="English"/>
    <x v="0"/>
    <s v="Technology"/>
    <x v="1"/>
    <d v="2024-06-26T00:00:00"/>
    <d v="2024-07-12T00:00:00"/>
    <x v="2"/>
    <n v="24"/>
    <m/>
    <s v="No"/>
    <n v="45"/>
    <s v="South"/>
    <x v="4"/>
    <s v="teacher450@school.edu"/>
    <n v="29"/>
    <s v="No"/>
    <n v="0"/>
    <n v="1"/>
    <n v="16"/>
    <x v="3"/>
  </r>
  <r>
    <s v="T0451"/>
    <x v="16"/>
    <s v="Female"/>
    <n v="35"/>
    <s v="Govt High School"/>
    <s v="Social Science"/>
    <x v="0"/>
    <s v="Professional Development"/>
    <x v="2"/>
    <d v="2024-09-23T00:00:00"/>
    <d v="2024-11-01T00:00:00"/>
    <x v="2"/>
    <n v="16"/>
    <m/>
    <s v="No"/>
    <n v="5"/>
    <s v="North"/>
    <x v="1"/>
    <s v="teacher451@school.edu"/>
    <n v="29"/>
    <s v="No"/>
    <n v="0"/>
    <n v="1"/>
    <n v="39"/>
    <x v="3"/>
  </r>
  <r>
    <s v="T0452"/>
    <x v="35"/>
    <s v="Female"/>
    <n v="51"/>
    <s v="Central School"/>
    <s v="Maths"/>
    <x v="1"/>
    <s v="Assessment"/>
    <x v="1"/>
    <d v="2024-05-17T00:00:00"/>
    <d v="2024-06-14T00:00:00"/>
    <x v="1"/>
    <n v="67"/>
    <n v="65"/>
    <s v="Yes"/>
    <n v="5"/>
    <s v="South"/>
    <x v="4"/>
    <s v="teacher452@school.edu"/>
    <n v="18"/>
    <s v="Yes"/>
    <n v="1"/>
    <n v="1"/>
    <n v="28"/>
    <x v="1"/>
  </r>
  <r>
    <s v="T0453"/>
    <x v="33"/>
    <s v="Female"/>
    <n v="29"/>
    <s v="Public School"/>
    <s v="Social Science"/>
    <x v="3"/>
    <s v="Technology"/>
    <x v="2"/>
    <d v="2024-07-08T00:00:00"/>
    <d v="2024-08-25T00:00:00"/>
    <x v="2"/>
    <n v="27"/>
    <m/>
    <s v="No"/>
    <n v="50"/>
    <s v="West"/>
    <x v="0"/>
    <s v="teacher453@school.edu"/>
    <n v="13"/>
    <s v="No"/>
    <n v="0"/>
    <n v="1"/>
    <n v="48"/>
    <x v="1"/>
  </r>
  <r>
    <s v="T0454"/>
    <x v="27"/>
    <s v="Female"/>
    <n v="29"/>
    <s v="Govt High School"/>
    <s v="English"/>
    <x v="4"/>
    <s v="Assessment"/>
    <x v="1"/>
    <d v="2024-07-13T00:00:00"/>
    <d v="2024-07-29T00:00:00"/>
    <x v="0"/>
    <n v="40"/>
    <m/>
    <s v="No"/>
    <n v="34"/>
    <s v="South"/>
    <x v="1"/>
    <s v="teacher454@school.edu"/>
    <n v="5"/>
    <s v="No"/>
    <n v="0"/>
    <n v="1"/>
    <n v="16"/>
    <x v="0"/>
  </r>
  <r>
    <s v="T0455"/>
    <x v="23"/>
    <s v="Male"/>
    <n v="27"/>
    <s v="International School"/>
    <s v="Maths"/>
    <x v="4"/>
    <s v="Technology"/>
    <x v="0"/>
    <d v="2024-04-26T00:00:00"/>
    <d v="2024-05-17T00:00:00"/>
    <x v="2"/>
    <n v="28"/>
    <m/>
    <s v="No"/>
    <n v="59"/>
    <s v="West"/>
    <x v="2"/>
    <s v="teacher455@school.edu"/>
    <n v="16"/>
    <s v="No"/>
    <n v="0"/>
    <n v="1"/>
    <n v="21"/>
    <x v="1"/>
  </r>
  <r>
    <s v="T0456"/>
    <x v="14"/>
    <s v="Male"/>
    <n v="42"/>
    <s v="Central School"/>
    <s v="Social Science"/>
    <x v="2"/>
    <s v="Pedagogy"/>
    <x v="2"/>
    <d v="2024-05-02T00:00:00"/>
    <d v="2024-06-07T00:00:00"/>
    <x v="1"/>
    <n v="40"/>
    <n v="64"/>
    <s v="Yes"/>
    <n v="9"/>
    <s v="South"/>
    <x v="1"/>
    <s v="teacher456@school.edu"/>
    <n v="21"/>
    <s v="Yes"/>
    <n v="1"/>
    <n v="1"/>
    <n v="36"/>
    <x v="3"/>
  </r>
  <r>
    <s v="T0457"/>
    <x v="14"/>
    <s v="Female"/>
    <n v="24"/>
    <s v="Govt High School"/>
    <s v="Social Science"/>
    <x v="1"/>
    <s v="Professional Development"/>
    <x v="1"/>
    <d v="2024-01-13T00:00:00"/>
    <d v="2024-01-18T00:00:00"/>
    <x v="0"/>
    <n v="75"/>
    <m/>
    <s v="No"/>
    <n v="49"/>
    <s v="North"/>
    <x v="2"/>
    <s v="teacher457@school.edu"/>
    <n v="20"/>
    <s v="No"/>
    <n v="0"/>
    <n v="1"/>
    <n v="5"/>
    <x v="1"/>
  </r>
  <r>
    <s v="T0458"/>
    <x v="16"/>
    <s v="Female"/>
    <n v="42"/>
    <s v="Public School"/>
    <s v="Computer Science"/>
    <x v="3"/>
    <s v="Pedagogy"/>
    <x v="1"/>
    <d v="2024-04-14T00:00:00"/>
    <d v="2024-05-31T00:00:00"/>
    <x v="0"/>
    <n v="40"/>
    <m/>
    <s v="No"/>
    <n v="19"/>
    <s v="East"/>
    <x v="2"/>
    <s v="teacher458@school.edu"/>
    <n v="17"/>
    <s v="No"/>
    <n v="0"/>
    <n v="1"/>
    <n v="47"/>
    <x v="1"/>
  </r>
  <r>
    <s v="T0459"/>
    <x v="22"/>
    <s v="Male"/>
    <n v="39"/>
    <s v="International School"/>
    <s v="Science"/>
    <x v="0"/>
    <s v="Pedagogy"/>
    <x v="0"/>
    <d v="2024-06-05T00:00:00"/>
    <d v="2024-07-06T00:00:00"/>
    <x v="2"/>
    <n v="16"/>
    <m/>
    <s v="No"/>
    <n v="58"/>
    <s v="North"/>
    <x v="2"/>
    <s v="teacher459@school.edu"/>
    <n v="7"/>
    <s v="No"/>
    <n v="0"/>
    <n v="1"/>
    <n v="31"/>
    <x v="2"/>
  </r>
  <r>
    <s v="T0460"/>
    <x v="5"/>
    <s v="Female"/>
    <n v="59"/>
    <s v="Central School"/>
    <s v="Social Science"/>
    <x v="1"/>
    <s v="Assessment"/>
    <x v="2"/>
    <d v="2024-09-02T00:00:00"/>
    <d v="2024-09-16T00:00:00"/>
    <x v="2"/>
    <n v="18"/>
    <m/>
    <s v="No"/>
    <n v="6"/>
    <s v="South"/>
    <x v="2"/>
    <s v="teacher460@school.edu"/>
    <n v="17"/>
    <s v="No"/>
    <n v="0"/>
    <n v="1"/>
    <n v="14"/>
    <x v="1"/>
  </r>
  <r>
    <s v="T0461"/>
    <x v="36"/>
    <s v="Male"/>
    <n v="55"/>
    <s v="International School"/>
    <s v="Maths"/>
    <x v="2"/>
    <s v="Technology"/>
    <x v="2"/>
    <d v="2024-04-24T00:00:00"/>
    <d v="2024-05-03T00:00:00"/>
    <x v="2"/>
    <n v="30"/>
    <m/>
    <s v="No"/>
    <n v="32"/>
    <s v="West"/>
    <x v="4"/>
    <s v="teacher461@school.edu"/>
    <n v="32"/>
    <s v="No"/>
    <n v="0"/>
    <n v="1"/>
    <n v="9"/>
    <x v="3"/>
  </r>
  <r>
    <s v="T0462"/>
    <x v="36"/>
    <s v="Male"/>
    <n v="32"/>
    <s v="Public School"/>
    <s v="English"/>
    <x v="2"/>
    <s v="Assessment"/>
    <x v="1"/>
    <d v="2024-02-13T00:00:00"/>
    <d v="2024-03-04T00:00:00"/>
    <x v="2"/>
    <n v="5"/>
    <m/>
    <s v="No"/>
    <n v="40"/>
    <s v="West"/>
    <x v="0"/>
    <s v="teacher462@school.edu"/>
    <n v="35"/>
    <s v="No"/>
    <n v="0"/>
    <n v="1"/>
    <n v="20"/>
    <x v="3"/>
  </r>
  <r>
    <s v="T0463"/>
    <x v="23"/>
    <s v="Female"/>
    <n v="32"/>
    <s v="Central School"/>
    <s v="Maths"/>
    <x v="2"/>
    <s v="Professional Development"/>
    <x v="1"/>
    <d v="2024-06-30T00:00:00"/>
    <d v="2024-08-10T00:00:00"/>
    <x v="2"/>
    <n v="9"/>
    <m/>
    <s v="No"/>
    <n v="18"/>
    <s v="West"/>
    <x v="3"/>
    <s v="teacher463@school.edu"/>
    <n v="8"/>
    <s v="No"/>
    <n v="0"/>
    <n v="1"/>
    <n v="41"/>
    <x v="2"/>
  </r>
  <r>
    <s v="T0464"/>
    <x v="27"/>
    <s v="Female"/>
    <n v="24"/>
    <s v="Central School"/>
    <s v="English"/>
    <x v="0"/>
    <s v="Professional Development"/>
    <x v="0"/>
    <d v="2024-10-20T00:00:00"/>
    <d v="2024-12-07T00:00:00"/>
    <x v="0"/>
    <n v="98"/>
    <m/>
    <s v="No"/>
    <n v="49"/>
    <s v="East"/>
    <x v="1"/>
    <s v="teacher464@school.edu"/>
    <n v="12"/>
    <s v="No"/>
    <n v="0"/>
    <n v="1"/>
    <n v="48"/>
    <x v="1"/>
  </r>
  <r>
    <s v="T0465"/>
    <x v="35"/>
    <s v="Male"/>
    <n v="23"/>
    <s v="Govt High School"/>
    <s v="Social Science"/>
    <x v="0"/>
    <s v="Pedagogy"/>
    <x v="0"/>
    <d v="2024-04-27T00:00:00"/>
    <d v="2024-06-01T00:00:00"/>
    <x v="1"/>
    <n v="61"/>
    <n v="83"/>
    <s v="Yes"/>
    <n v="30"/>
    <s v="North"/>
    <x v="4"/>
    <s v="teacher465@school.edu"/>
    <n v="22"/>
    <s v="Yes"/>
    <n v="1"/>
    <n v="1"/>
    <n v="35"/>
    <x v="3"/>
  </r>
  <r>
    <s v="T0466"/>
    <x v="12"/>
    <s v="Female"/>
    <n v="48"/>
    <s v="Public School"/>
    <s v="Social Science"/>
    <x v="4"/>
    <s v="Pedagogy"/>
    <x v="0"/>
    <d v="2024-10-12T00:00:00"/>
    <d v="2024-10-29T00:00:00"/>
    <x v="0"/>
    <n v="70"/>
    <m/>
    <s v="No"/>
    <n v="23"/>
    <s v="South"/>
    <x v="3"/>
    <s v="teacher466@school.edu"/>
    <n v="4"/>
    <s v="No"/>
    <n v="0"/>
    <n v="1"/>
    <n v="17"/>
    <x v="0"/>
  </r>
  <r>
    <s v="T0467"/>
    <x v="19"/>
    <s v="Male"/>
    <n v="29"/>
    <s v="Govt High School"/>
    <s v="Science"/>
    <x v="1"/>
    <s v="Pedagogy"/>
    <x v="0"/>
    <d v="2024-06-25T00:00:00"/>
    <d v="2024-07-01T00:00:00"/>
    <x v="1"/>
    <n v="85"/>
    <n v="100"/>
    <s v="Yes"/>
    <n v="9"/>
    <s v="South"/>
    <x v="2"/>
    <s v="teacher467@school.edu"/>
    <n v="21"/>
    <s v="Yes"/>
    <n v="1"/>
    <n v="1"/>
    <n v="6"/>
    <x v="3"/>
  </r>
  <r>
    <s v="T0468"/>
    <x v="25"/>
    <s v="Male"/>
    <n v="51"/>
    <s v="International School"/>
    <s v="Science"/>
    <x v="2"/>
    <s v="Assessment"/>
    <x v="0"/>
    <d v="2024-01-29T00:00:00"/>
    <d v="2024-03-10T00:00:00"/>
    <x v="0"/>
    <n v="95"/>
    <m/>
    <s v="No"/>
    <n v="38"/>
    <s v="North"/>
    <x v="0"/>
    <s v="teacher468@school.edu"/>
    <n v="6"/>
    <s v="No"/>
    <n v="0"/>
    <n v="1"/>
    <n v="41"/>
    <x v="2"/>
  </r>
  <r>
    <s v="T0469"/>
    <x v="23"/>
    <s v="Male"/>
    <n v="31"/>
    <s v="Govt High School"/>
    <s v="English"/>
    <x v="1"/>
    <s v="Assessment"/>
    <x v="1"/>
    <d v="2024-05-10T00:00:00"/>
    <d v="2024-07-08T00:00:00"/>
    <x v="1"/>
    <n v="63"/>
    <n v="97"/>
    <s v="Yes"/>
    <n v="12"/>
    <s v="North"/>
    <x v="3"/>
    <s v="teacher469@school.edu"/>
    <n v="4"/>
    <s v="Yes"/>
    <n v="1"/>
    <n v="1"/>
    <n v="59"/>
    <x v="0"/>
  </r>
  <r>
    <s v="T0470"/>
    <x v="7"/>
    <s v="Male"/>
    <n v="36"/>
    <s v="Central School"/>
    <s v="Science"/>
    <x v="3"/>
    <s v="Pedagogy"/>
    <x v="1"/>
    <d v="2024-03-25T00:00:00"/>
    <d v="2024-04-11T00:00:00"/>
    <x v="0"/>
    <n v="98"/>
    <m/>
    <s v="No"/>
    <n v="30"/>
    <s v="East"/>
    <x v="2"/>
    <s v="teacher470@school.edu"/>
    <n v="1"/>
    <s v="No"/>
    <n v="0"/>
    <n v="1"/>
    <n v="17"/>
    <x v="0"/>
  </r>
  <r>
    <s v="T0471"/>
    <x v="9"/>
    <s v="Male"/>
    <n v="37"/>
    <s v="Govt High School"/>
    <s v="English"/>
    <x v="1"/>
    <s v="Assessment"/>
    <x v="1"/>
    <d v="2024-01-10T00:00:00"/>
    <d v="2024-01-23T00:00:00"/>
    <x v="2"/>
    <n v="30"/>
    <m/>
    <s v="No"/>
    <n v="21"/>
    <s v="East"/>
    <x v="2"/>
    <s v="teacher471@school.edu"/>
    <n v="21"/>
    <s v="No"/>
    <n v="0"/>
    <n v="1"/>
    <n v="13"/>
    <x v="3"/>
  </r>
  <r>
    <s v="T0472"/>
    <x v="20"/>
    <s v="Female"/>
    <n v="40"/>
    <s v="Public School"/>
    <s v="Computer Science"/>
    <x v="1"/>
    <s v="Technology"/>
    <x v="1"/>
    <d v="2024-01-08T00:00:00"/>
    <d v="2024-02-25T00:00:00"/>
    <x v="2"/>
    <n v="17"/>
    <m/>
    <s v="No"/>
    <n v="8"/>
    <s v="East"/>
    <x v="0"/>
    <s v="teacher472@school.edu"/>
    <n v="15"/>
    <s v="No"/>
    <n v="0"/>
    <n v="1"/>
    <n v="48"/>
    <x v="1"/>
  </r>
  <r>
    <s v="T0473"/>
    <x v="0"/>
    <s v="Female"/>
    <n v="38"/>
    <s v="Govt High School"/>
    <s v="Science"/>
    <x v="0"/>
    <s v="Technology"/>
    <x v="1"/>
    <d v="2024-05-26T00:00:00"/>
    <d v="2024-07-21T00:00:00"/>
    <x v="2"/>
    <n v="12"/>
    <m/>
    <s v="No"/>
    <n v="59"/>
    <s v="East"/>
    <x v="1"/>
    <s v="teacher473@school.edu"/>
    <n v="10"/>
    <s v="No"/>
    <n v="0"/>
    <n v="1"/>
    <n v="56"/>
    <x v="2"/>
  </r>
  <r>
    <s v="T0474"/>
    <x v="16"/>
    <s v="Female"/>
    <n v="44"/>
    <s v="International School"/>
    <s v="Social Science"/>
    <x v="4"/>
    <s v="Professional Development"/>
    <x v="2"/>
    <d v="2024-08-27T00:00:00"/>
    <d v="2024-09-10T00:00:00"/>
    <x v="2"/>
    <n v="26"/>
    <m/>
    <s v="No"/>
    <n v="20"/>
    <s v="East"/>
    <x v="3"/>
    <s v="teacher474@school.edu"/>
    <n v="6"/>
    <s v="No"/>
    <n v="0"/>
    <n v="1"/>
    <n v="14"/>
    <x v="2"/>
  </r>
  <r>
    <s v="T0475"/>
    <x v="4"/>
    <s v="Male"/>
    <n v="50"/>
    <s v="Govt High School"/>
    <s v="Maths"/>
    <x v="3"/>
    <s v="Professional Development"/>
    <x v="0"/>
    <d v="2024-03-03T00:00:00"/>
    <d v="2024-03-10T00:00:00"/>
    <x v="0"/>
    <n v="52"/>
    <m/>
    <s v="No"/>
    <n v="36"/>
    <s v="West"/>
    <x v="1"/>
    <s v="teacher475@school.edu"/>
    <n v="20"/>
    <s v="No"/>
    <n v="0"/>
    <n v="1"/>
    <n v="7"/>
    <x v="1"/>
  </r>
  <r>
    <s v="T0476"/>
    <x v="12"/>
    <s v="Female"/>
    <n v="57"/>
    <s v="Central School"/>
    <s v="English"/>
    <x v="0"/>
    <s v="Assessment"/>
    <x v="1"/>
    <d v="2024-08-27T00:00:00"/>
    <d v="2024-10-18T00:00:00"/>
    <x v="0"/>
    <n v="52"/>
    <m/>
    <s v="No"/>
    <n v="33"/>
    <s v="West"/>
    <x v="1"/>
    <s v="teacher476@school.edu"/>
    <n v="21"/>
    <s v="No"/>
    <n v="0"/>
    <n v="1"/>
    <n v="52"/>
    <x v="3"/>
  </r>
  <r>
    <s v="T0477"/>
    <x v="31"/>
    <s v="Male"/>
    <n v="60"/>
    <s v="Public School"/>
    <s v="Social Science"/>
    <x v="3"/>
    <s v="Assessment"/>
    <x v="2"/>
    <d v="2024-05-29T00:00:00"/>
    <d v="2024-07-02T00:00:00"/>
    <x v="1"/>
    <n v="88"/>
    <n v="59"/>
    <s v="Yes"/>
    <n v="39"/>
    <s v="North"/>
    <x v="3"/>
    <s v="teacher477@school.edu"/>
    <n v="25"/>
    <s v="Yes"/>
    <n v="1"/>
    <n v="1"/>
    <n v="34"/>
    <x v="3"/>
  </r>
  <r>
    <s v="T0478"/>
    <x v="31"/>
    <s v="Male"/>
    <n v="32"/>
    <s v="Central School"/>
    <s v="Science"/>
    <x v="3"/>
    <s v="Professional Development"/>
    <x v="1"/>
    <d v="2024-07-08T00:00:00"/>
    <d v="2024-08-10T00:00:00"/>
    <x v="2"/>
    <n v="40"/>
    <m/>
    <s v="No"/>
    <n v="33"/>
    <s v="South"/>
    <x v="2"/>
    <s v="teacher478@school.edu"/>
    <n v="27"/>
    <s v="No"/>
    <n v="0"/>
    <n v="1"/>
    <n v="33"/>
    <x v="3"/>
  </r>
  <r>
    <s v="T0479"/>
    <x v="10"/>
    <s v="Male"/>
    <n v="24"/>
    <s v="Govt High School"/>
    <s v="Science"/>
    <x v="3"/>
    <s v="Pedagogy"/>
    <x v="1"/>
    <d v="2024-02-05T00:00:00"/>
    <d v="2024-04-03T00:00:00"/>
    <x v="2"/>
    <n v="35"/>
    <m/>
    <s v="No"/>
    <n v="21"/>
    <s v="South"/>
    <x v="3"/>
    <s v="teacher479@school.edu"/>
    <n v="14"/>
    <s v="No"/>
    <n v="0"/>
    <n v="1"/>
    <n v="58"/>
    <x v="1"/>
  </r>
  <r>
    <s v="T0480"/>
    <x v="26"/>
    <s v="Male"/>
    <n v="25"/>
    <s v="Govt High School"/>
    <s v="Maths"/>
    <x v="0"/>
    <s v="Professional Development"/>
    <x v="0"/>
    <d v="2024-07-24T00:00:00"/>
    <d v="2024-08-24T00:00:00"/>
    <x v="0"/>
    <n v="100"/>
    <m/>
    <s v="No"/>
    <n v="25"/>
    <s v="East"/>
    <x v="2"/>
    <s v="teacher480@school.edu"/>
    <n v="7"/>
    <s v="No"/>
    <n v="0"/>
    <n v="1"/>
    <n v="31"/>
    <x v="2"/>
  </r>
  <r>
    <s v="T0481"/>
    <x v="11"/>
    <s v="Female"/>
    <n v="44"/>
    <s v="Public School"/>
    <s v="Computer Science"/>
    <x v="2"/>
    <s v="Technology"/>
    <x v="1"/>
    <d v="2024-10-09T00:00:00"/>
    <d v="2024-10-16T00:00:00"/>
    <x v="0"/>
    <n v="44"/>
    <m/>
    <s v="No"/>
    <n v="9"/>
    <s v="East"/>
    <x v="4"/>
    <s v="teacher481@school.edu"/>
    <n v="15"/>
    <s v="No"/>
    <n v="0"/>
    <n v="1"/>
    <n v="7"/>
    <x v="1"/>
  </r>
  <r>
    <s v="T0482"/>
    <x v="10"/>
    <s v="Male"/>
    <n v="54"/>
    <s v="Public School"/>
    <s v="Science"/>
    <x v="0"/>
    <s v="Technology"/>
    <x v="0"/>
    <d v="2024-04-13T00:00:00"/>
    <d v="2024-06-03T00:00:00"/>
    <x v="1"/>
    <n v="98"/>
    <n v="91"/>
    <s v="Yes"/>
    <n v="7"/>
    <s v="West"/>
    <x v="4"/>
    <s v="teacher482@school.edu"/>
    <n v="28"/>
    <s v="Yes"/>
    <n v="1"/>
    <n v="1"/>
    <n v="51"/>
    <x v="3"/>
  </r>
  <r>
    <s v="T0483"/>
    <x v="39"/>
    <s v="Male"/>
    <n v="26"/>
    <s v="Govt High School"/>
    <s v="Maths"/>
    <x v="2"/>
    <s v="Technology"/>
    <x v="0"/>
    <d v="2024-06-11T00:00:00"/>
    <d v="2024-06-18T00:00:00"/>
    <x v="0"/>
    <n v="83"/>
    <m/>
    <s v="No"/>
    <n v="48"/>
    <s v="East"/>
    <x v="4"/>
    <s v="teacher483@school.edu"/>
    <n v="35"/>
    <s v="No"/>
    <n v="0"/>
    <n v="1"/>
    <n v="7"/>
    <x v="3"/>
  </r>
  <r>
    <s v="T0484"/>
    <x v="29"/>
    <s v="Male"/>
    <n v="31"/>
    <s v="International School"/>
    <s v="Maths"/>
    <x v="4"/>
    <s v="Technology"/>
    <x v="1"/>
    <d v="2024-07-16T00:00:00"/>
    <d v="2024-09-04T00:00:00"/>
    <x v="2"/>
    <n v="26"/>
    <m/>
    <s v="No"/>
    <n v="56"/>
    <s v="North"/>
    <x v="1"/>
    <s v="teacher484@school.edu"/>
    <n v="8"/>
    <s v="No"/>
    <n v="0"/>
    <n v="1"/>
    <n v="50"/>
    <x v="2"/>
  </r>
  <r>
    <s v="T0485"/>
    <x v="1"/>
    <s v="Male"/>
    <n v="50"/>
    <s v="International School"/>
    <s v="Computer Science"/>
    <x v="2"/>
    <s v="Assessment"/>
    <x v="1"/>
    <d v="2024-05-28T00:00:00"/>
    <d v="2024-06-08T00:00:00"/>
    <x v="2"/>
    <n v="40"/>
    <m/>
    <s v="No"/>
    <n v="51"/>
    <s v="South"/>
    <x v="0"/>
    <s v="teacher485@school.edu"/>
    <n v="1"/>
    <s v="No"/>
    <n v="0"/>
    <n v="1"/>
    <n v="11"/>
    <x v="0"/>
  </r>
  <r>
    <s v="T0486"/>
    <x v="14"/>
    <s v="Female"/>
    <n v="57"/>
    <s v="Public School"/>
    <s v="English"/>
    <x v="1"/>
    <s v="Pedagogy"/>
    <x v="0"/>
    <d v="2024-05-11T00:00:00"/>
    <d v="2024-06-09T00:00:00"/>
    <x v="2"/>
    <n v="14"/>
    <m/>
    <s v="No"/>
    <n v="17"/>
    <s v="South"/>
    <x v="0"/>
    <s v="teacher486@school.edu"/>
    <n v="8"/>
    <s v="No"/>
    <n v="0"/>
    <n v="1"/>
    <n v="29"/>
    <x v="2"/>
  </r>
  <r>
    <s v="T0487"/>
    <x v="16"/>
    <s v="Male"/>
    <n v="46"/>
    <s v="International School"/>
    <s v="Science"/>
    <x v="2"/>
    <s v="Assessment"/>
    <x v="2"/>
    <d v="2024-06-11T00:00:00"/>
    <d v="2024-07-09T00:00:00"/>
    <x v="2"/>
    <n v="16"/>
    <m/>
    <s v="No"/>
    <n v="60"/>
    <s v="North"/>
    <x v="4"/>
    <s v="teacher487@school.edu"/>
    <n v="34"/>
    <s v="No"/>
    <n v="0"/>
    <n v="1"/>
    <n v="28"/>
    <x v="3"/>
  </r>
  <r>
    <s v="T0488"/>
    <x v="14"/>
    <s v="Female"/>
    <n v="22"/>
    <s v="Govt High School"/>
    <s v="Social Science"/>
    <x v="3"/>
    <s v="Technology"/>
    <x v="2"/>
    <d v="2024-05-27T00:00:00"/>
    <d v="2024-06-16T00:00:00"/>
    <x v="2"/>
    <n v="28"/>
    <m/>
    <s v="No"/>
    <n v="45"/>
    <s v="South"/>
    <x v="3"/>
    <s v="teacher488@school.edu"/>
    <n v="9"/>
    <s v="No"/>
    <n v="0"/>
    <n v="1"/>
    <n v="20"/>
    <x v="2"/>
  </r>
  <r>
    <s v="T0489"/>
    <x v="34"/>
    <s v="Male"/>
    <n v="41"/>
    <s v="Public School"/>
    <s v="Maths"/>
    <x v="3"/>
    <s v="Pedagogy"/>
    <x v="0"/>
    <d v="2024-04-29T00:00:00"/>
    <d v="2024-06-11T00:00:00"/>
    <x v="0"/>
    <n v="89"/>
    <m/>
    <s v="No"/>
    <n v="34"/>
    <s v="North"/>
    <x v="3"/>
    <s v="teacher489@school.edu"/>
    <n v="1"/>
    <s v="No"/>
    <n v="0"/>
    <n v="1"/>
    <n v="43"/>
    <x v="0"/>
  </r>
  <r>
    <s v="T0490"/>
    <x v="28"/>
    <s v="Female"/>
    <n v="44"/>
    <s v="Govt High School"/>
    <s v="Maths"/>
    <x v="2"/>
    <s v="Professional Development"/>
    <x v="2"/>
    <d v="2024-09-06T00:00:00"/>
    <d v="2024-10-21T00:00:00"/>
    <x v="0"/>
    <n v="63"/>
    <m/>
    <s v="No"/>
    <n v="27"/>
    <s v="North"/>
    <x v="1"/>
    <s v="teacher490@school.edu"/>
    <n v="4"/>
    <s v="No"/>
    <n v="0"/>
    <n v="1"/>
    <n v="45"/>
    <x v="0"/>
  </r>
  <r>
    <s v="T0491"/>
    <x v="13"/>
    <s v="Female"/>
    <n v="59"/>
    <s v="Govt High School"/>
    <s v="Computer Science"/>
    <x v="2"/>
    <s v="Assessment"/>
    <x v="1"/>
    <d v="2024-01-26T00:00:00"/>
    <d v="2024-03-09T00:00:00"/>
    <x v="1"/>
    <n v="85"/>
    <n v="53"/>
    <s v="Yes"/>
    <n v="52"/>
    <s v="West"/>
    <x v="3"/>
    <s v="teacher491@school.edu"/>
    <n v="11"/>
    <s v="Yes"/>
    <n v="1"/>
    <n v="1"/>
    <n v="43"/>
    <x v="1"/>
  </r>
  <r>
    <s v="T0492"/>
    <x v="35"/>
    <s v="Male"/>
    <n v="60"/>
    <s v="Govt High School"/>
    <s v="Computer Science"/>
    <x v="2"/>
    <s v="Pedagogy"/>
    <x v="2"/>
    <d v="2024-09-09T00:00:00"/>
    <d v="2024-11-03T00:00:00"/>
    <x v="1"/>
    <n v="86"/>
    <n v="75"/>
    <s v="Yes"/>
    <n v="43"/>
    <s v="South"/>
    <x v="1"/>
    <s v="teacher492@school.edu"/>
    <n v="13"/>
    <s v="Yes"/>
    <n v="1"/>
    <n v="1"/>
    <n v="55"/>
    <x v="1"/>
  </r>
  <r>
    <s v="T0493"/>
    <x v="22"/>
    <s v="Female"/>
    <n v="60"/>
    <s v="Central School"/>
    <s v="English"/>
    <x v="1"/>
    <s v="Professional Development"/>
    <x v="2"/>
    <d v="2024-08-23T00:00:00"/>
    <d v="2024-10-16T00:00:00"/>
    <x v="2"/>
    <n v="32"/>
    <m/>
    <s v="No"/>
    <n v="18"/>
    <s v="North"/>
    <x v="2"/>
    <s v="teacher493@school.edu"/>
    <n v="7"/>
    <s v="No"/>
    <n v="0"/>
    <n v="1"/>
    <n v="54"/>
    <x v="2"/>
  </r>
  <r>
    <s v="T0494"/>
    <x v="13"/>
    <s v="Female"/>
    <n v="55"/>
    <s v="International School"/>
    <s v="Science"/>
    <x v="3"/>
    <s v="Assessment"/>
    <x v="0"/>
    <d v="2024-03-31T00:00:00"/>
    <d v="2024-04-23T00:00:00"/>
    <x v="1"/>
    <n v="64"/>
    <n v="58"/>
    <s v="Yes"/>
    <n v="13"/>
    <s v="West"/>
    <x v="2"/>
    <s v="teacher494@school.edu"/>
    <n v="23"/>
    <s v="Yes"/>
    <n v="1"/>
    <n v="1"/>
    <n v="23"/>
    <x v="3"/>
  </r>
  <r>
    <s v="T0495"/>
    <x v="23"/>
    <s v="Male"/>
    <n v="60"/>
    <s v="Central School"/>
    <s v="Maths"/>
    <x v="0"/>
    <s v="Pedagogy"/>
    <x v="2"/>
    <d v="2024-05-28T00:00:00"/>
    <d v="2024-06-11T00:00:00"/>
    <x v="2"/>
    <n v="31"/>
    <m/>
    <s v="No"/>
    <n v="54"/>
    <s v="North"/>
    <x v="0"/>
    <s v="teacher495@school.edu"/>
    <n v="33"/>
    <s v="No"/>
    <n v="0"/>
    <n v="1"/>
    <n v="14"/>
    <x v="3"/>
  </r>
  <r>
    <s v="T0496"/>
    <x v="25"/>
    <s v="Female"/>
    <n v="56"/>
    <s v="International School"/>
    <s v="Computer Science"/>
    <x v="3"/>
    <s v="Pedagogy"/>
    <x v="2"/>
    <d v="2024-06-12T00:00:00"/>
    <d v="2024-07-09T00:00:00"/>
    <x v="1"/>
    <n v="46"/>
    <n v="60"/>
    <s v="Yes"/>
    <n v="48"/>
    <s v="East"/>
    <x v="2"/>
    <s v="teacher496@school.edu"/>
    <n v="29"/>
    <s v="Yes"/>
    <n v="1"/>
    <n v="1"/>
    <n v="27"/>
    <x v="3"/>
  </r>
  <r>
    <s v="T0497"/>
    <x v="33"/>
    <s v="Female"/>
    <n v="29"/>
    <s v="Govt High School"/>
    <s v="Computer Science"/>
    <x v="1"/>
    <s v="Assessment"/>
    <x v="1"/>
    <d v="2024-04-18T00:00:00"/>
    <d v="2024-05-15T00:00:00"/>
    <x v="2"/>
    <n v="23"/>
    <m/>
    <s v="No"/>
    <n v="29"/>
    <s v="North"/>
    <x v="2"/>
    <s v="teacher497@school.edu"/>
    <n v="23"/>
    <s v="No"/>
    <n v="0"/>
    <n v="1"/>
    <n v="27"/>
    <x v="3"/>
  </r>
  <r>
    <s v="T0498"/>
    <x v="9"/>
    <s v="Male"/>
    <n v="54"/>
    <s v="Govt High School"/>
    <s v="English"/>
    <x v="4"/>
    <s v="Pedagogy"/>
    <x v="2"/>
    <d v="2024-10-10T00:00:00"/>
    <d v="2024-11-13T00:00:00"/>
    <x v="1"/>
    <n v="82"/>
    <n v="59"/>
    <s v="Yes"/>
    <n v="14"/>
    <s v="West"/>
    <x v="0"/>
    <s v="teacher498@school.edu"/>
    <n v="31"/>
    <s v="Yes"/>
    <n v="1"/>
    <n v="1"/>
    <n v="34"/>
    <x v="3"/>
  </r>
  <r>
    <s v="T0499"/>
    <x v="39"/>
    <s v="Male"/>
    <n v="56"/>
    <s v="Central School"/>
    <s v="Social Science"/>
    <x v="0"/>
    <s v="Technology"/>
    <x v="1"/>
    <d v="2024-08-15T00:00:00"/>
    <d v="2024-10-04T00:00:00"/>
    <x v="0"/>
    <n v="79"/>
    <m/>
    <s v="No"/>
    <n v="55"/>
    <s v="East"/>
    <x v="3"/>
    <s v="teacher499@school.edu"/>
    <n v="22"/>
    <s v="No"/>
    <n v="0"/>
    <n v="1"/>
    <n v="50"/>
    <x v="3"/>
  </r>
  <r>
    <s v="T0500"/>
    <x v="11"/>
    <s v="Male"/>
    <n v="35"/>
    <s v="Govt High School"/>
    <s v="Science"/>
    <x v="4"/>
    <s v="Technology"/>
    <x v="0"/>
    <d v="2024-07-13T00:00:00"/>
    <d v="2024-09-10T00:00:00"/>
    <x v="2"/>
    <n v="13"/>
    <m/>
    <s v="No"/>
    <n v="11"/>
    <s v="South"/>
    <x v="1"/>
    <s v="teacher500@school.edu"/>
    <n v="10"/>
    <s v="No"/>
    <n v="0"/>
    <n v="1"/>
    <n v="5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E8550-DA8A-4EBC-874B-4FDF15E094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3" firstHeaderRow="0" firstDataRow="1" firstDataCol="1"/>
  <pivotFields count="28">
    <pivotField showAll="0"/>
    <pivotField showAll="0"/>
    <pivotField showAll="0"/>
    <pivotField showAll="0"/>
    <pivotField showAll="0"/>
    <pivotField showAll="0"/>
    <pivotField showAll="0">
      <items count="6">
        <item x="4"/>
        <item x="2"/>
        <item x="1"/>
        <item x="0"/>
        <item x="3"/>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axis="axisRow" showAll="0">
      <items count="6">
        <item x="0"/>
        <item x="3"/>
        <item x="1"/>
        <item x="2"/>
        <item x="4"/>
        <item t="default"/>
      </items>
    </pivotField>
    <pivotField showAll="0"/>
    <pivotField showAll="0"/>
    <pivotField showAll="0"/>
    <pivotField dataField="1" showAll="0"/>
    <pivotField dataField="1"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17"/>
  </rowFields>
  <rowItems count="6">
    <i>
      <x/>
    </i>
    <i>
      <x v="1"/>
    </i>
    <i>
      <x v="2"/>
    </i>
    <i>
      <x v="3"/>
    </i>
    <i>
      <x v="4"/>
    </i>
    <i t="grand">
      <x/>
    </i>
  </rowItems>
  <colFields count="1">
    <field x="-2"/>
  </colFields>
  <colItems count="3">
    <i>
      <x/>
    </i>
    <i i="1">
      <x v="1"/>
    </i>
    <i i="2">
      <x v="2"/>
    </i>
  </colItems>
  <dataFields count="3">
    <dataField name="Sum of Completed_Flag" fld="21" baseField="0" baseItem="0"/>
    <dataField name="Sum of Enrollment_Flag" fld="22" baseField="0" baseItem="0"/>
    <dataField name="Sum of State Completion %" fld="26"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A888F-BA22-40FD-822D-8C591E2FF7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25" firstHeaderRow="1" firstDataRow="1" firstDataCol="1"/>
  <pivotFields count="28">
    <pivotField showAll="0"/>
    <pivotField showAll="0"/>
    <pivotField showAll="0"/>
    <pivotField showAll="0"/>
    <pivotField showAll="0"/>
    <pivotField showAll="0"/>
    <pivotField showAll="0">
      <items count="6">
        <item x="4"/>
        <item x="2"/>
        <item x="1"/>
        <item x="0"/>
        <item x="3"/>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axis="axisRow" showAll="0">
      <items count="6">
        <item x="0"/>
        <item x="3"/>
        <item x="1"/>
        <item x="2"/>
        <item x="4"/>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6">
    <i>
      <x/>
    </i>
    <i>
      <x v="1"/>
    </i>
    <i>
      <x v="2"/>
    </i>
    <i>
      <x v="3"/>
    </i>
    <i>
      <x v="4"/>
    </i>
    <i t="grand">
      <x/>
    </i>
  </rowItems>
  <colItems count="1">
    <i/>
  </colItems>
  <dataFields count="1">
    <dataField name="Total_Teachers" fld="22" baseField="3" baseItem="0"/>
  </dataFields>
  <chartFormats count="2">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D04A7-6D0A-4516-998F-365999164422}" name="pivot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28">
    <pivotField showAll="0"/>
    <pivotField showAll="0"/>
    <pivotField showAll="0"/>
    <pivotField showAll="0"/>
    <pivotField showAll="0"/>
    <pivotField showAll="0"/>
    <pivotField axis="axisRow" showAll="0" sortType="descending">
      <items count="6">
        <item x="3"/>
        <item x="0"/>
        <item x="1"/>
        <item x="2"/>
        <item x="4"/>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showAll="0">
      <items count="6">
        <item x="0"/>
        <item x="3"/>
        <item x="1"/>
        <item x="2"/>
        <item x="4"/>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t="grand">
      <x/>
    </i>
  </rowItems>
  <colItems count="1">
    <i/>
  </colItems>
  <dataFields count="1">
    <dataField name="Total Teachers" fld="22" baseField="6"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DD5096-51F3-4BC0-AB85-9AC2A538D0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K64" firstHeaderRow="1" firstDataRow="1" firstDataCol="1" rowPageCount="2" colPageCount="1"/>
  <pivotFields count="28">
    <pivotField showAll="0"/>
    <pivotField axis="axisRow" showAll="0">
      <items count="41">
        <item x="1"/>
        <item x="34"/>
        <item x="17"/>
        <item x="30"/>
        <item x="21"/>
        <item x="20"/>
        <item x="35"/>
        <item x="15"/>
        <item x="27"/>
        <item x="12"/>
        <item x="11"/>
        <item x="16"/>
        <item x="7"/>
        <item x="37"/>
        <item x="18"/>
        <item x="39"/>
        <item x="36"/>
        <item x="22"/>
        <item x="14"/>
        <item x="28"/>
        <item x="38"/>
        <item x="25"/>
        <item x="13"/>
        <item x="2"/>
        <item x="29"/>
        <item x="4"/>
        <item x="6"/>
        <item x="24"/>
        <item x="23"/>
        <item x="10"/>
        <item x="3"/>
        <item x="33"/>
        <item x="9"/>
        <item x="5"/>
        <item x="31"/>
        <item x="26"/>
        <item x="32"/>
        <item x="19"/>
        <item x="0"/>
        <item x="8"/>
        <item t="default"/>
      </items>
    </pivotField>
    <pivotField showAll="0"/>
    <pivotField showAll="0"/>
    <pivotField showAll="0"/>
    <pivotField showAll="0"/>
    <pivotField axis="axisPage" showAll="0">
      <items count="6">
        <item x="4"/>
        <item x="2"/>
        <item x="1"/>
        <item x="0"/>
        <item x="3"/>
        <item t="default"/>
      </items>
    </pivotField>
    <pivotField showAll="0"/>
    <pivotField showAll="0">
      <items count="4">
        <item x="2"/>
        <item x="0"/>
        <item x="1"/>
        <item t="default"/>
      </items>
    </pivotField>
    <pivotField numFmtId="164" showAll="0"/>
    <pivotField numFmtId="164" showAll="0"/>
    <pivotField dataField="1" showAll="0">
      <items count="4">
        <item x="1"/>
        <item x="0"/>
        <item x="2"/>
        <item t="default"/>
      </items>
    </pivotField>
    <pivotField numFmtId="2" showAll="0"/>
    <pivotField showAll="0"/>
    <pivotField showAll="0"/>
    <pivotField showAll="0"/>
    <pivotField showAll="0"/>
    <pivotField axis="axisPage" showAll="0">
      <items count="6">
        <item x="0"/>
        <item x="3"/>
        <item x="1"/>
        <item x="2"/>
        <item x="4"/>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pageFields count="2">
    <pageField fld="6" hier="-1"/>
    <pageField fld="17" hier="-1"/>
  </pageFields>
  <dataFields count="1">
    <dataField name="Count of Completion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68110A-FE07-470D-B3A7-6DE6426EB6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J8" firstHeaderRow="0" firstDataRow="1" firstDataCol="1"/>
  <pivotFields count="28">
    <pivotField showAll="0"/>
    <pivotField showAll="0"/>
    <pivotField showAll="0"/>
    <pivotField showAll="0"/>
    <pivotField showAll="0"/>
    <pivotField showAll="0"/>
    <pivotField showAll="0">
      <items count="6">
        <item x="4"/>
        <item x="2"/>
        <item x="1"/>
        <item x="0"/>
        <item x="3"/>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showAll="0">
      <items count="6">
        <item x="0"/>
        <item x="3"/>
        <item x="1"/>
        <item x="2"/>
        <item x="4"/>
        <item t="default"/>
      </items>
    </pivotField>
    <pivotField showAll="0"/>
    <pivotField showAll="0"/>
    <pivotField showAll="0"/>
    <pivotField dataField="1" showAll="0"/>
    <pivotField dataField="1" showAll="0"/>
    <pivotField showAll="0"/>
    <pivotField axis="axisRow" showAll="0">
      <items count="5">
        <item x="0"/>
        <item x="1"/>
        <item x="3"/>
        <item x="2"/>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24"/>
  </rowFields>
  <rowItems count="5">
    <i>
      <x/>
    </i>
    <i>
      <x v="1"/>
    </i>
    <i>
      <x v="2"/>
    </i>
    <i>
      <x v="3"/>
    </i>
    <i t="grand">
      <x/>
    </i>
  </rowItems>
  <colFields count="1">
    <field x="-2"/>
  </colFields>
  <colItems count="3">
    <i>
      <x/>
    </i>
    <i i="1">
      <x v="1"/>
    </i>
    <i i="2">
      <x v="2"/>
    </i>
  </colItems>
  <dataFields count="3">
    <dataField name="Sum of Enrollment_Flag" fld="22" baseField="0" baseItem="0"/>
    <dataField name="Sum of Completed_Flag" fld="21" baseField="0" baseItem="0"/>
    <dataField name="Completed Percentage" fld="27" subtotal="average" baseField="24"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C1D47-0822-46A0-830C-5766CC9ED0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5" firstHeaderRow="1" firstDataRow="1" firstDataCol="1"/>
  <pivotFields count="28">
    <pivotField showAll="0"/>
    <pivotField showAll="0"/>
    <pivotField showAll="0"/>
    <pivotField showAll="0"/>
    <pivotField showAll="0"/>
    <pivotField showAll="0"/>
    <pivotField showAll="0">
      <items count="6">
        <item x="4"/>
        <item x="2"/>
        <item x="1"/>
        <item x="0"/>
        <item x="3"/>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dataField="1"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6">
    <i>
      <x/>
    </i>
    <i>
      <x v="1"/>
    </i>
    <i>
      <x v="2"/>
    </i>
    <i>
      <x v="3"/>
    </i>
    <i>
      <x v="4"/>
    </i>
    <i t="grand">
      <x/>
    </i>
  </rowItems>
  <colItems count="1">
    <i/>
  </colItems>
  <dataFields count="1">
    <dataField name="Average of Training_Hours" fld="15"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3B9E54-AC4A-4A26-A1A3-1D95A7F71C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7" firstHeaderRow="0" firstDataRow="1" firstDataCol="1"/>
  <pivotFields count="28">
    <pivotField showAll="0"/>
    <pivotField showAll="0"/>
    <pivotField showAll="0"/>
    <pivotField showAll="0"/>
    <pivotField showAll="0"/>
    <pivotField showAll="0"/>
    <pivotField axis="axisRow" showAll="0">
      <items count="6">
        <item x="4"/>
        <item x="2"/>
        <item x="1"/>
        <item x="0"/>
        <item x="3"/>
        <item t="default"/>
      </items>
    </pivotField>
    <pivotField showAll="0"/>
    <pivotField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showAll="0">
      <items count="6">
        <item x="0"/>
        <item x="3"/>
        <item x="1"/>
        <item x="2"/>
        <item x="4"/>
        <item t="default"/>
      </items>
    </pivotField>
    <pivotField showAll="0"/>
    <pivotField showAll="0"/>
    <pivotField showAll="0"/>
    <pivotField dataField="1" showAll="0"/>
    <pivotField dataField="1"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t="grand">
      <x/>
    </i>
  </rowItems>
  <colFields count="1">
    <field x="-2"/>
  </colFields>
  <colItems count="3">
    <i>
      <x/>
    </i>
    <i i="1">
      <x v="1"/>
    </i>
    <i i="2">
      <x v="2"/>
    </i>
  </colItems>
  <dataFields count="3">
    <dataField name="Total_Enrolled" fld="22" baseField="6" baseItem="0"/>
    <dataField name="Completed" fld="21" baseField="6" baseItem="0"/>
    <dataField name="Sum of Completion Rate" fld="25"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7AD408-3671-407C-9291-0B759A1E91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1:J15" firstHeaderRow="0" firstDataRow="1" firstDataCol="1"/>
  <pivotFields count="28">
    <pivotField showAll="0"/>
    <pivotField showAll="0"/>
    <pivotField showAll="0"/>
    <pivotField showAll="0"/>
    <pivotField showAll="0"/>
    <pivotField showAll="0"/>
    <pivotField showAll="0">
      <items count="6">
        <item x="4"/>
        <item x="2"/>
        <item x="1"/>
        <item x="0"/>
        <item x="3"/>
        <item t="default"/>
      </items>
    </pivotField>
    <pivotField showAll="0"/>
    <pivotField axis="axisRow" showAll="0">
      <items count="4">
        <item x="2"/>
        <item x="0"/>
        <item x="1"/>
        <item t="default"/>
      </items>
    </pivotField>
    <pivotField numFmtId="164" showAll="0"/>
    <pivotField numFmtId="164" showAll="0"/>
    <pivotField showAll="0">
      <items count="4">
        <item x="1"/>
        <item x="0"/>
        <item x="2"/>
        <item t="default"/>
      </items>
    </pivotField>
    <pivotField numFmtId="2" showAll="0"/>
    <pivotField showAll="0"/>
    <pivotField showAll="0"/>
    <pivotField showAll="0"/>
    <pivotField showAll="0"/>
    <pivotField showAll="0">
      <items count="6">
        <item x="0"/>
        <item x="3"/>
        <item x="1"/>
        <item x="2"/>
        <item x="4"/>
        <item t="default"/>
      </items>
    </pivotField>
    <pivotField showAll="0"/>
    <pivotField showAll="0"/>
    <pivotField showAll="0"/>
    <pivotField dataField="1" showAll="0"/>
    <pivotField dataField="1"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Fields count="1">
    <field x="-2"/>
  </colFields>
  <colItems count="3">
    <i>
      <x/>
    </i>
    <i i="1">
      <x v="1"/>
    </i>
    <i i="2">
      <x v="2"/>
    </i>
  </colItems>
  <dataFields count="3">
    <dataField name="Sum of Completed_Flag" fld="21" baseField="0" baseItem="0"/>
    <dataField name="Sum of Enrollment_Flag" fld="22" baseField="0" baseItem="0"/>
    <dataField name="Average of Completion Rate" fld="25" subtotal="average" baseField="8" baseItem="0" numFmtId="10"/>
  </dataFields>
  <chartFormats count="3">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4A0DED3-9011-4735-96FC-79C9FB2C95F6}" sourceName="State">
  <pivotTables>
    <pivotTable tabId="2" name="PivotTable6"/>
    <pivotTable tabId="2" name="pivot 1"/>
    <pivotTable tabId="2" name="PivotTable10"/>
    <pivotTable tabId="2" name="PivotTable2"/>
    <pivotTable tabId="2" name="PivotTable5"/>
    <pivotTable tabId="2" name="PivotTable8"/>
    <pivotTable tabId="2" name="PivotTable9"/>
    <pivotTable tabId="2" name="PivotTable4"/>
  </pivotTables>
  <data>
    <tabular pivotCacheId="167385632">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tion_Status" xr10:uid="{FED9B906-6F27-45EF-8C69-773B3424541C}" sourceName="Completion_Status">
  <pivotTables>
    <pivotTable tabId="2" name="PivotTable6"/>
    <pivotTable tabId="2" name="pivot 1"/>
    <pivotTable tabId="2" name="PivotTable10"/>
    <pivotTable tabId="2" name="PivotTable2"/>
    <pivotTable tabId="2" name="PivotTable5"/>
    <pivotTable tabId="2" name="PivotTable8"/>
    <pivotTable tabId="2" name="PivotTable9"/>
    <pivotTable tabId="2" name="PivotTable4"/>
  </pivotTables>
  <data>
    <tabular pivotCacheId="16738563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Training" xr10:uid="{3F7D0C4D-033D-45E7-8BAA-2F8866CD4ED8}" sourceName="Mode_of_Training">
  <pivotTables>
    <pivotTable tabId="2" name="PivotTable6"/>
    <pivotTable tabId="2" name="pivot 1"/>
    <pivotTable tabId="2" name="PivotTable10"/>
    <pivotTable tabId="2" name="PivotTable2"/>
    <pivotTable tabId="2" name="PivotTable5"/>
    <pivotTable tabId="2" name="PivotTable8"/>
    <pivotTable tabId="2" name="PivotTable9"/>
    <pivotTable tabId="2" name="PivotTable4"/>
  </pivotTables>
  <data>
    <tabular pivotCacheId="16738563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05D76464-5A3A-488A-80FB-D8AD64542DB3}" sourceName="Course_Name">
  <pivotTables>
    <pivotTable tabId="2" name="PivotTable6"/>
    <pivotTable tabId="2" name="pivot 1"/>
    <pivotTable tabId="2" name="PivotTable10"/>
    <pivotTable tabId="2" name="PivotTable2"/>
    <pivotTable tabId="2" name="PivotTable5"/>
    <pivotTable tabId="2" name="PivotTable8"/>
    <pivotTable tabId="2" name="PivotTable9"/>
    <pivotTable tabId="2" name="PivotTable4"/>
  </pivotTables>
  <data>
    <tabular pivotCacheId="167385632">
      <items count="5">
        <i x="4"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739C02A-7A65-40EE-A581-32DBCEB2B647}" cache="Slicer_State" caption="State" rowHeight="234950"/>
  <slicer name="Completion_Status" xr10:uid="{68B5A436-9752-4CD1-845D-DAD9BC11D20E}" cache="Slicer_Completion_Status" caption="Completion_Status" rowHeight="234950"/>
  <slicer name="Mode_of_Training" xr10:uid="{AFCF587C-2F9B-41EE-87DA-A8F283894E87}" cache="Slicer_Mode_of_Training" caption="Mode_of_Training" rowHeight="234950"/>
  <slicer name="Course_Name" xr10:uid="{4E27274F-0A84-434B-8CF8-E954DD8BF2E0}" cache="Slicer_Course_Name" caption="Course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DB1FEF-2EC3-4FD0-8328-F8AAEBE21631}" name="Table2" displayName="Table2" ref="A3:K106" totalsRowShown="0">
  <autoFilter ref="A3:K106" xr:uid="{B0DB1FEF-2EC3-4FD0-8328-F8AAEBE21631}"/>
  <tableColumns count="11">
    <tableColumn id="1" xr3:uid="{0B5800BA-4895-48C6-9D71-BCD8A35E581F}" name="Certificate_Issued"/>
    <tableColumn id="2" xr3:uid="{84153643-E242-45A8-B4B6-9C161DC9DC13}" name="Training_Hours"/>
    <tableColumn id="3" xr3:uid="{288E0B99-9C66-4F38-B34A-E0E8C4029A8B}" name="Region"/>
    <tableColumn id="4" xr3:uid="{FA2F6016-668D-4B44-A9D4-D542D40B65E1}" name="State"/>
    <tableColumn id="5" xr3:uid="{A719F5C5-A7DE-4C83-8A4A-8E47F1A58980}" name="Email_ID"/>
    <tableColumn id="6" xr3:uid="{1134CFA4-A67B-4BE3-A157-C2EFD7554D20}" name="Experience_Years"/>
    <tableColumn id="7" xr3:uid="{E91977F0-B3FD-4E95-A0E3-5D8413FCF158}" name="Certificate_Status_Clean"/>
    <tableColumn id="8" xr3:uid="{BCC6F9C3-FE9B-43D4-A2F3-8CEA80833375}" name="Completed_Flag"/>
    <tableColumn id="9" xr3:uid="{AACE131D-9673-4E0E-A8CC-5D0515864846}" name="Enrollment_Flag"/>
    <tableColumn id="10" xr3:uid="{90444C8D-D58F-41BF-9982-AF6BF9D16C5A}" name="Training_Duration_Days"/>
    <tableColumn id="11" xr3:uid="{A0E93AA7-6F87-4C0C-AA63-87B701686B9B}" name="Experience_Ban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173DAF-149F-4C95-A380-098FDDFD12E3}" name="Teacher_Data" displayName="Teacher_Data" ref="A1:Y501" totalsRowShown="0">
  <autoFilter ref="A1:Y501" xr:uid="{0B173DAF-149F-4C95-A380-098FDDFD12E3}"/>
  <tableColumns count="25">
    <tableColumn id="1" xr3:uid="{1BF388E5-D110-4AB4-B3AF-53C4784E62C5}" name="Teacher_ID"/>
    <tableColumn id="2" xr3:uid="{AB229950-AF24-47A9-8D18-2B4918161508}" name="Teacher_Name"/>
    <tableColumn id="3" xr3:uid="{C6E2B274-771E-468D-9D30-D6A58079CF90}" name="Gender"/>
    <tableColumn id="4" xr3:uid="{66BDA121-3892-40D0-9B2F-6556D45DE18B}" name="Age"/>
    <tableColumn id="5" xr3:uid="{B65906B6-98AD-4E67-8EFB-A337253C130E}" name="School_Name"/>
    <tableColumn id="6" xr3:uid="{6985E225-07A3-4488-B29E-F40A0FBD921F}" name="Subject"/>
    <tableColumn id="7" xr3:uid="{A0BA2D84-B612-4DC8-A1D5-30E4BD78E47C}" name="Course_Name"/>
    <tableColumn id="8" xr3:uid="{62C609BC-347C-4159-AD9C-5AC2170ED573}" name="Course_Category"/>
    <tableColumn id="9" xr3:uid="{EF08DF75-BD22-4B5A-8342-2E77406CA8DA}" name="Mode_of_Training"/>
    <tableColumn id="10" xr3:uid="{7E405500-2D00-4D83-9F9A-F9EFE3B82302}" name="Start_Date" dataDxfId="7"/>
    <tableColumn id="11" xr3:uid="{2AB10B0D-49EF-44BE-B6B7-9F936DD48F38}" name="End_Date" dataDxfId="6"/>
    <tableColumn id="12" xr3:uid="{F00031DD-28F9-4C9E-B4F5-0555BB492882}" name="Completion_Status"/>
    <tableColumn id="13" xr3:uid="{C8FCB5B0-97BB-4694-9BEC-1B6E5ABC5BA3}" name="Completion_Percentage" dataDxfId="5"/>
    <tableColumn id="14" xr3:uid="{E974B62C-8D4D-4AF5-9C45-D9CBEA06317E}" name="Assessment_Score"/>
    <tableColumn id="15" xr3:uid="{178A614D-3036-4BC5-BBAB-2E3A1A794E1E}" name="Certificate_Issued"/>
    <tableColumn id="16" xr3:uid="{42BB4751-BF27-4B07-9968-E98D9351627F}" name="Training_Hours"/>
    <tableColumn id="17" xr3:uid="{30371816-2FFD-43EE-9674-EEEFCA90D90E}" name="Region"/>
    <tableColumn id="18" xr3:uid="{9A30735E-DB87-4399-88D8-8E61503435F8}" name="State"/>
    <tableColumn id="19" xr3:uid="{27DC4501-5A7E-405F-BE94-54F5A5A0C5B3}" name="Email_ID"/>
    <tableColumn id="20" xr3:uid="{AAC99BEE-F993-40AB-87C9-C8B84BA2FEB0}" name="Experience_Years"/>
    <tableColumn id="21" xr3:uid="{3CB79795-2036-4558-8B80-992F7EE7872D}" name="Certificate_Status_Clean" dataDxfId="4">
      <calculatedColumnFormula>IF(Teacher_Data[[#This Row],[Completion_Status]]="Completed","Yes","No")</calculatedColumnFormula>
    </tableColumn>
    <tableColumn id="22" xr3:uid="{B7C051A3-D74F-42E5-9862-67E80323366A}" name="Completed_Flag" dataDxfId="3">
      <calculatedColumnFormula>IF(Teacher_Data[[#This Row],[Completion_Status]]="Completed",1,0)</calculatedColumnFormula>
    </tableColumn>
    <tableColumn id="23" xr3:uid="{BEBDC2CB-AF7F-4D28-9DC3-0AE92B57AA84}" name="Enrollment_Flag" dataDxfId="2">
      <calculatedColumnFormula>1</calculatedColumnFormula>
    </tableColumn>
    <tableColumn id="24" xr3:uid="{BA00EE63-99F2-4091-8F69-C552EFE65CEE}" name="Training_Duration_Days" dataDxfId="1">
      <calculatedColumnFormula>Teacher_Data[[#This Row],[End_Date]]-Teacher_Data[[#This Row],[Start_Date]]</calculatedColumnFormula>
    </tableColumn>
    <tableColumn id="25" xr3:uid="{221DF9FB-7116-4050-9C7A-2E19FA17AF04}" name="Experience_Band" dataDxfId="0">
      <calculatedColumnFormula>_xlfn.IFS(Teacher_Data[[#This Row],[Experience_Years]]&lt;=5,"0-5 Years",Teacher_Data[[#This Row],[Experience_Years]]&lt;=10,"5-10 Years",Teacher_Data[[#This Row],[Experience_Years]]&lt;=20,"11-20 Years",TRUE,"20+ Years")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2E19-9952-43FA-B53A-B29774E57F02}">
  <dimension ref="A1:K106"/>
  <sheetViews>
    <sheetView workbookViewId="0">
      <selection activeCell="A3" sqref="A3:K106"/>
    </sheetView>
  </sheetViews>
  <sheetFormatPr defaultRowHeight="14.4" x14ac:dyDescent="0.3"/>
  <cols>
    <col min="1" max="1" width="18.21875" bestFit="1" customWidth="1"/>
    <col min="2" max="2" width="16" bestFit="1" customWidth="1"/>
    <col min="3" max="4" width="9" bestFit="1" customWidth="1"/>
    <col min="5" max="5" width="21.109375" bestFit="1" customWidth="1"/>
    <col min="6" max="6" width="17.88671875" bestFit="1" customWidth="1"/>
    <col min="7" max="7" width="24" bestFit="1" customWidth="1"/>
    <col min="8" max="9" width="16.88671875" bestFit="1" customWidth="1"/>
    <col min="10" max="10" width="23.6640625" bestFit="1" customWidth="1"/>
    <col min="11" max="11" width="17.77734375" bestFit="1" customWidth="1"/>
  </cols>
  <sheetData>
    <row r="1" spans="1:11" x14ac:dyDescent="0.3">
      <c r="A1" s="6" t="s">
        <v>1121</v>
      </c>
    </row>
    <row r="3" spans="1:11" x14ac:dyDescent="0.3">
      <c r="A3" t="s">
        <v>14</v>
      </c>
      <c r="B3" t="s">
        <v>15</v>
      </c>
      <c r="C3" t="s">
        <v>16</v>
      </c>
      <c r="D3" t="s">
        <v>17</v>
      </c>
      <c r="E3" t="s">
        <v>18</v>
      </c>
      <c r="F3" t="s">
        <v>19</v>
      </c>
      <c r="G3" t="s">
        <v>1097</v>
      </c>
      <c r="H3" t="s">
        <v>1098</v>
      </c>
      <c r="I3" t="s">
        <v>1099</v>
      </c>
      <c r="J3" t="s">
        <v>1100</v>
      </c>
      <c r="K3" t="s">
        <v>1101</v>
      </c>
    </row>
    <row r="4" spans="1:11" x14ac:dyDescent="0.3">
      <c r="A4" t="s">
        <v>29</v>
      </c>
      <c r="B4">
        <v>11</v>
      </c>
      <c r="C4" t="s">
        <v>40</v>
      </c>
      <c r="D4" t="s">
        <v>41</v>
      </c>
      <c r="E4" t="s">
        <v>1096</v>
      </c>
      <c r="F4">
        <v>10</v>
      </c>
      <c r="G4" t="s">
        <v>29</v>
      </c>
      <c r="H4">
        <v>0</v>
      </c>
      <c r="I4">
        <v>1</v>
      </c>
      <c r="J4">
        <v>59</v>
      </c>
      <c r="K4" t="s">
        <v>1114</v>
      </c>
    </row>
    <row r="5" spans="1:11" x14ac:dyDescent="0.3">
      <c r="A5" t="s">
        <v>29</v>
      </c>
      <c r="B5">
        <v>39</v>
      </c>
      <c r="C5" t="s">
        <v>40</v>
      </c>
      <c r="D5" t="s">
        <v>41</v>
      </c>
      <c r="E5" t="s">
        <v>42</v>
      </c>
      <c r="F5">
        <v>3</v>
      </c>
      <c r="G5" t="s">
        <v>29</v>
      </c>
      <c r="H5">
        <v>0</v>
      </c>
      <c r="I5">
        <v>1</v>
      </c>
      <c r="J5">
        <v>36</v>
      </c>
      <c r="K5" t="s">
        <v>1111</v>
      </c>
    </row>
    <row r="6" spans="1:11" x14ac:dyDescent="0.3">
      <c r="A6" t="s">
        <v>53</v>
      </c>
      <c r="B6">
        <v>43</v>
      </c>
      <c r="C6" t="s">
        <v>40</v>
      </c>
      <c r="D6" t="s">
        <v>41</v>
      </c>
      <c r="E6" t="s">
        <v>1080</v>
      </c>
      <c r="F6">
        <v>13</v>
      </c>
      <c r="G6" t="s">
        <v>53</v>
      </c>
      <c r="H6">
        <v>1</v>
      </c>
      <c r="I6">
        <v>1</v>
      </c>
      <c r="J6">
        <v>55</v>
      </c>
      <c r="K6" t="s">
        <v>1112</v>
      </c>
    </row>
    <row r="7" spans="1:11" x14ac:dyDescent="0.3">
      <c r="A7" t="s">
        <v>29</v>
      </c>
      <c r="B7">
        <v>27</v>
      </c>
      <c r="C7" t="s">
        <v>30</v>
      </c>
      <c r="D7" t="s">
        <v>41</v>
      </c>
      <c r="E7" t="s">
        <v>1076</v>
      </c>
      <c r="F7">
        <v>4</v>
      </c>
      <c r="G7" t="s">
        <v>29</v>
      </c>
      <c r="H7">
        <v>0</v>
      </c>
      <c r="I7">
        <v>1</v>
      </c>
      <c r="J7">
        <v>45</v>
      </c>
      <c r="K7" t="s">
        <v>1111</v>
      </c>
    </row>
    <row r="8" spans="1:11" x14ac:dyDescent="0.3">
      <c r="A8" t="s">
        <v>29</v>
      </c>
      <c r="B8">
        <v>56</v>
      </c>
      <c r="C8" t="s">
        <v>30</v>
      </c>
      <c r="D8" t="s">
        <v>41</v>
      </c>
      <c r="E8" t="s">
        <v>1064</v>
      </c>
      <c r="F8">
        <v>8</v>
      </c>
      <c r="G8" t="s">
        <v>29</v>
      </c>
      <c r="H8">
        <v>0</v>
      </c>
      <c r="I8">
        <v>1</v>
      </c>
      <c r="J8">
        <v>50</v>
      </c>
      <c r="K8" t="s">
        <v>1114</v>
      </c>
    </row>
    <row r="9" spans="1:11" x14ac:dyDescent="0.3">
      <c r="A9" t="s">
        <v>29</v>
      </c>
      <c r="B9">
        <v>33</v>
      </c>
      <c r="C9" t="s">
        <v>61</v>
      </c>
      <c r="D9" t="s">
        <v>41</v>
      </c>
      <c r="E9" t="s">
        <v>1048</v>
      </c>
      <c r="F9">
        <v>21</v>
      </c>
      <c r="G9" t="s">
        <v>29</v>
      </c>
      <c r="H9">
        <v>0</v>
      </c>
      <c r="I9">
        <v>1</v>
      </c>
      <c r="J9">
        <v>52</v>
      </c>
      <c r="K9" t="s">
        <v>1113</v>
      </c>
    </row>
    <row r="10" spans="1:11" x14ac:dyDescent="0.3">
      <c r="A10" t="s">
        <v>29</v>
      </c>
      <c r="B10">
        <v>36</v>
      </c>
      <c r="C10" t="s">
        <v>61</v>
      </c>
      <c r="D10" t="s">
        <v>41</v>
      </c>
      <c r="E10" t="s">
        <v>1046</v>
      </c>
      <c r="F10">
        <v>20</v>
      </c>
      <c r="G10" t="s">
        <v>29</v>
      </c>
      <c r="H10">
        <v>0</v>
      </c>
      <c r="I10">
        <v>1</v>
      </c>
      <c r="J10">
        <v>7</v>
      </c>
      <c r="K10" t="s">
        <v>1112</v>
      </c>
    </row>
    <row r="11" spans="1:11" x14ac:dyDescent="0.3">
      <c r="A11" t="s">
        <v>29</v>
      </c>
      <c r="B11">
        <v>59</v>
      </c>
      <c r="C11" t="s">
        <v>68</v>
      </c>
      <c r="D11" t="s">
        <v>41</v>
      </c>
      <c r="E11" t="s">
        <v>1042</v>
      </c>
      <c r="F11">
        <v>10</v>
      </c>
      <c r="G11" t="s">
        <v>29</v>
      </c>
      <c r="H11">
        <v>0</v>
      </c>
      <c r="I11">
        <v>1</v>
      </c>
      <c r="J11">
        <v>56</v>
      </c>
      <c r="K11" t="s">
        <v>1114</v>
      </c>
    </row>
    <row r="12" spans="1:11" x14ac:dyDescent="0.3">
      <c r="A12" t="s">
        <v>29</v>
      </c>
      <c r="B12">
        <v>49</v>
      </c>
      <c r="C12" t="s">
        <v>68</v>
      </c>
      <c r="D12" t="s">
        <v>41</v>
      </c>
      <c r="E12" t="s">
        <v>1024</v>
      </c>
      <c r="F12">
        <v>12</v>
      </c>
      <c r="G12" t="s">
        <v>29</v>
      </c>
      <c r="H12">
        <v>0</v>
      </c>
      <c r="I12">
        <v>1</v>
      </c>
      <c r="J12">
        <v>48</v>
      </c>
      <c r="K12" t="s">
        <v>1112</v>
      </c>
    </row>
    <row r="13" spans="1:11" x14ac:dyDescent="0.3">
      <c r="A13" t="s">
        <v>53</v>
      </c>
      <c r="B13">
        <v>9</v>
      </c>
      <c r="C13" t="s">
        <v>40</v>
      </c>
      <c r="D13" t="s">
        <v>41</v>
      </c>
      <c r="E13" t="s">
        <v>1008</v>
      </c>
      <c r="F13">
        <v>21</v>
      </c>
      <c r="G13" t="s">
        <v>53</v>
      </c>
      <c r="H13">
        <v>1</v>
      </c>
      <c r="I13">
        <v>1</v>
      </c>
      <c r="J13">
        <v>36</v>
      </c>
      <c r="K13" t="s">
        <v>1113</v>
      </c>
    </row>
    <row r="14" spans="1:11" x14ac:dyDescent="0.3">
      <c r="A14" t="s">
        <v>29</v>
      </c>
      <c r="B14">
        <v>34</v>
      </c>
      <c r="C14" t="s">
        <v>40</v>
      </c>
      <c r="D14" t="s">
        <v>41</v>
      </c>
      <c r="E14" t="s">
        <v>1004</v>
      </c>
      <c r="F14">
        <v>5</v>
      </c>
      <c r="G14" t="s">
        <v>29</v>
      </c>
      <c r="H14">
        <v>0</v>
      </c>
      <c r="I14">
        <v>1</v>
      </c>
      <c r="J14">
        <v>16</v>
      </c>
      <c r="K14" t="s">
        <v>1111</v>
      </c>
    </row>
    <row r="15" spans="1:11" x14ac:dyDescent="0.3">
      <c r="A15" t="s">
        <v>29</v>
      </c>
      <c r="B15">
        <v>5</v>
      </c>
      <c r="C15" t="s">
        <v>30</v>
      </c>
      <c r="D15" t="s">
        <v>41</v>
      </c>
      <c r="E15" t="s">
        <v>998</v>
      </c>
      <c r="F15">
        <v>29</v>
      </c>
      <c r="G15" t="s">
        <v>29</v>
      </c>
      <c r="H15">
        <v>0</v>
      </c>
      <c r="I15">
        <v>1</v>
      </c>
      <c r="J15">
        <v>39</v>
      </c>
      <c r="K15" t="s">
        <v>1113</v>
      </c>
    </row>
    <row r="16" spans="1:11" x14ac:dyDescent="0.3">
      <c r="A16" t="s">
        <v>29</v>
      </c>
      <c r="B16">
        <v>44</v>
      </c>
      <c r="C16" t="s">
        <v>61</v>
      </c>
      <c r="D16" t="s">
        <v>41</v>
      </c>
      <c r="E16" t="s">
        <v>92</v>
      </c>
      <c r="F16">
        <v>34</v>
      </c>
      <c r="G16" t="s">
        <v>29</v>
      </c>
      <c r="H16">
        <v>0</v>
      </c>
      <c r="I16">
        <v>1</v>
      </c>
      <c r="J16">
        <v>50</v>
      </c>
      <c r="K16" t="s">
        <v>1113</v>
      </c>
    </row>
    <row r="17" spans="1:11" x14ac:dyDescent="0.3">
      <c r="A17" t="s">
        <v>29</v>
      </c>
      <c r="B17">
        <v>44</v>
      </c>
      <c r="C17" t="s">
        <v>30</v>
      </c>
      <c r="D17" t="s">
        <v>41</v>
      </c>
      <c r="E17" t="s">
        <v>976</v>
      </c>
      <c r="F17">
        <v>29</v>
      </c>
      <c r="G17" t="s">
        <v>29</v>
      </c>
      <c r="H17">
        <v>0</v>
      </c>
      <c r="I17">
        <v>1</v>
      </c>
      <c r="J17">
        <v>10</v>
      </c>
      <c r="K17" t="s">
        <v>1113</v>
      </c>
    </row>
    <row r="18" spans="1:11" x14ac:dyDescent="0.3">
      <c r="A18" t="s">
        <v>53</v>
      </c>
      <c r="B18">
        <v>46</v>
      </c>
      <c r="C18" t="s">
        <v>61</v>
      </c>
      <c r="D18" t="s">
        <v>41</v>
      </c>
      <c r="E18" t="s">
        <v>956</v>
      </c>
      <c r="F18">
        <v>29</v>
      </c>
      <c r="G18" t="s">
        <v>53</v>
      </c>
      <c r="H18">
        <v>1</v>
      </c>
      <c r="I18">
        <v>1</v>
      </c>
      <c r="J18">
        <v>36</v>
      </c>
      <c r="K18" t="s">
        <v>1113</v>
      </c>
    </row>
    <row r="19" spans="1:11" x14ac:dyDescent="0.3">
      <c r="A19" t="s">
        <v>29</v>
      </c>
      <c r="B19">
        <v>53</v>
      </c>
      <c r="C19" t="s">
        <v>40</v>
      </c>
      <c r="D19" t="s">
        <v>41</v>
      </c>
      <c r="E19" t="s">
        <v>942</v>
      </c>
      <c r="F19">
        <v>4</v>
      </c>
      <c r="G19" t="s">
        <v>29</v>
      </c>
      <c r="H19">
        <v>0</v>
      </c>
      <c r="I19">
        <v>1</v>
      </c>
      <c r="J19">
        <v>16</v>
      </c>
      <c r="K19" t="s">
        <v>1111</v>
      </c>
    </row>
    <row r="20" spans="1:11" x14ac:dyDescent="0.3">
      <c r="A20" t="s">
        <v>53</v>
      </c>
      <c r="B20">
        <v>17</v>
      </c>
      <c r="C20" t="s">
        <v>30</v>
      </c>
      <c r="D20" t="s">
        <v>41</v>
      </c>
      <c r="E20" t="s">
        <v>930</v>
      </c>
      <c r="F20">
        <v>11</v>
      </c>
      <c r="G20" t="s">
        <v>53</v>
      </c>
      <c r="H20">
        <v>1</v>
      </c>
      <c r="I20">
        <v>1</v>
      </c>
      <c r="J20">
        <v>33</v>
      </c>
      <c r="K20" t="s">
        <v>1112</v>
      </c>
    </row>
    <row r="21" spans="1:11" x14ac:dyDescent="0.3">
      <c r="A21" t="s">
        <v>29</v>
      </c>
      <c r="B21">
        <v>24</v>
      </c>
      <c r="C21" t="s">
        <v>30</v>
      </c>
      <c r="D21" t="s">
        <v>41</v>
      </c>
      <c r="E21" t="s">
        <v>926</v>
      </c>
      <c r="F21">
        <v>23</v>
      </c>
      <c r="G21" t="s">
        <v>29</v>
      </c>
      <c r="H21">
        <v>0</v>
      </c>
      <c r="I21">
        <v>1</v>
      </c>
      <c r="J21">
        <v>37</v>
      </c>
      <c r="K21" t="s">
        <v>1113</v>
      </c>
    </row>
    <row r="22" spans="1:11" x14ac:dyDescent="0.3">
      <c r="A22" t="s">
        <v>53</v>
      </c>
      <c r="B22">
        <v>16</v>
      </c>
      <c r="C22" t="s">
        <v>68</v>
      </c>
      <c r="D22" t="s">
        <v>41</v>
      </c>
      <c r="E22" t="s">
        <v>111</v>
      </c>
      <c r="F22">
        <v>20</v>
      </c>
      <c r="G22" t="s">
        <v>53</v>
      </c>
      <c r="H22">
        <v>1</v>
      </c>
      <c r="I22">
        <v>1</v>
      </c>
      <c r="J22">
        <v>36</v>
      </c>
      <c r="K22" t="s">
        <v>1112</v>
      </c>
    </row>
    <row r="23" spans="1:11" x14ac:dyDescent="0.3">
      <c r="A23" t="s">
        <v>29</v>
      </c>
      <c r="B23">
        <v>9</v>
      </c>
      <c r="C23" t="s">
        <v>68</v>
      </c>
      <c r="D23" t="s">
        <v>41</v>
      </c>
      <c r="E23" t="s">
        <v>900</v>
      </c>
      <c r="F23">
        <v>6</v>
      </c>
      <c r="G23" t="s">
        <v>29</v>
      </c>
      <c r="H23">
        <v>0</v>
      </c>
      <c r="I23">
        <v>1</v>
      </c>
      <c r="J23">
        <v>60</v>
      </c>
      <c r="K23" t="s">
        <v>1114</v>
      </c>
    </row>
    <row r="24" spans="1:11" x14ac:dyDescent="0.3">
      <c r="A24" t="s">
        <v>29</v>
      </c>
      <c r="B24">
        <v>28</v>
      </c>
      <c r="C24" t="s">
        <v>40</v>
      </c>
      <c r="D24" t="s">
        <v>41</v>
      </c>
      <c r="E24" t="s">
        <v>898</v>
      </c>
      <c r="F24">
        <v>19</v>
      </c>
      <c r="G24" t="s">
        <v>29</v>
      </c>
      <c r="H24">
        <v>0</v>
      </c>
      <c r="I24">
        <v>1</v>
      </c>
      <c r="J24">
        <v>53</v>
      </c>
      <c r="K24" t="s">
        <v>1112</v>
      </c>
    </row>
    <row r="25" spans="1:11" x14ac:dyDescent="0.3">
      <c r="A25" t="s">
        <v>29</v>
      </c>
      <c r="B25">
        <v>36</v>
      </c>
      <c r="C25" t="s">
        <v>61</v>
      </c>
      <c r="D25" t="s">
        <v>41</v>
      </c>
      <c r="E25" t="s">
        <v>894</v>
      </c>
      <c r="F25">
        <v>4</v>
      </c>
      <c r="G25" t="s">
        <v>29</v>
      </c>
      <c r="H25">
        <v>0</v>
      </c>
      <c r="I25">
        <v>1</v>
      </c>
      <c r="J25">
        <v>35</v>
      </c>
      <c r="K25" t="s">
        <v>1111</v>
      </c>
    </row>
    <row r="26" spans="1:11" x14ac:dyDescent="0.3">
      <c r="A26" t="s">
        <v>29</v>
      </c>
      <c r="B26">
        <v>47</v>
      </c>
      <c r="C26" t="s">
        <v>40</v>
      </c>
      <c r="D26" t="s">
        <v>41</v>
      </c>
      <c r="E26" t="s">
        <v>888</v>
      </c>
      <c r="F26">
        <v>32</v>
      </c>
      <c r="G26" t="s">
        <v>29</v>
      </c>
      <c r="H26">
        <v>0</v>
      </c>
      <c r="I26">
        <v>1</v>
      </c>
      <c r="J26">
        <v>32</v>
      </c>
      <c r="K26" t="s">
        <v>1113</v>
      </c>
    </row>
    <row r="27" spans="1:11" x14ac:dyDescent="0.3">
      <c r="A27" t="s">
        <v>29</v>
      </c>
      <c r="B27">
        <v>24</v>
      </c>
      <c r="C27" t="s">
        <v>40</v>
      </c>
      <c r="D27" t="s">
        <v>41</v>
      </c>
      <c r="E27" t="s">
        <v>872</v>
      </c>
      <c r="F27">
        <v>20</v>
      </c>
      <c r="G27" t="s">
        <v>29</v>
      </c>
      <c r="H27">
        <v>0</v>
      </c>
      <c r="I27">
        <v>1</v>
      </c>
      <c r="J27">
        <v>51</v>
      </c>
      <c r="K27" t="s">
        <v>1112</v>
      </c>
    </row>
    <row r="28" spans="1:11" x14ac:dyDescent="0.3">
      <c r="A28" t="s">
        <v>53</v>
      </c>
      <c r="B28">
        <v>44</v>
      </c>
      <c r="C28" t="s">
        <v>68</v>
      </c>
      <c r="D28" t="s">
        <v>41</v>
      </c>
      <c r="E28" t="s">
        <v>848</v>
      </c>
      <c r="F28">
        <v>8</v>
      </c>
      <c r="G28" t="s">
        <v>53</v>
      </c>
      <c r="H28">
        <v>1</v>
      </c>
      <c r="I28">
        <v>1</v>
      </c>
      <c r="J28">
        <v>41</v>
      </c>
      <c r="K28" t="s">
        <v>1114</v>
      </c>
    </row>
    <row r="29" spans="1:11" x14ac:dyDescent="0.3">
      <c r="A29" t="s">
        <v>29</v>
      </c>
      <c r="B29">
        <v>7</v>
      </c>
      <c r="C29" t="s">
        <v>68</v>
      </c>
      <c r="D29" t="s">
        <v>41</v>
      </c>
      <c r="E29" t="s">
        <v>842</v>
      </c>
      <c r="F29">
        <v>11</v>
      </c>
      <c r="G29" t="s">
        <v>29</v>
      </c>
      <c r="H29">
        <v>0</v>
      </c>
      <c r="I29">
        <v>1</v>
      </c>
      <c r="J29">
        <v>18</v>
      </c>
      <c r="K29" t="s">
        <v>1112</v>
      </c>
    </row>
    <row r="30" spans="1:11" x14ac:dyDescent="0.3">
      <c r="A30" t="s">
        <v>53</v>
      </c>
      <c r="B30">
        <v>39</v>
      </c>
      <c r="C30" t="s">
        <v>61</v>
      </c>
      <c r="D30" t="s">
        <v>41</v>
      </c>
      <c r="E30" t="s">
        <v>810</v>
      </c>
      <c r="F30">
        <v>28</v>
      </c>
      <c r="G30" t="s">
        <v>53</v>
      </c>
      <c r="H30">
        <v>1</v>
      </c>
      <c r="I30">
        <v>1</v>
      </c>
      <c r="J30">
        <v>28</v>
      </c>
      <c r="K30" t="s">
        <v>1113</v>
      </c>
    </row>
    <row r="31" spans="1:11" x14ac:dyDescent="0.3">
      <c r="A31" t="s">
        <v>53</v>
      </c>
      <c r="B31">
        <v>53</v>
      </c>
      <c r="C31" t="s">
        <v>30</v>
      </c>
      <c r="D31" t="s">
        <v>41</v>
      </c>
      <c r="E31" t="s">
        <v>806</v>
      </c>
      <c r="F31">
        <v>4</v>
      </c>
      <c r="G31" t="s">
        <v>53</v>
      </c>
      <c r="H31">
        <v>1</v>
      </c>
      <c r="I31">
        <v>1</v>
      </c>
      <c r="J31">
        <v>35</v>
      </c>
      <c r="K31" t="s">
        <v>1111</v>
      </c>
    </row>
    <row r="32" spans="1:11" x14ac:dyDescent="0.3">
      <c r="A32" t="s">
        <v>29</v>
      </c>
      <c r="B32">
        <v>14</v>
      </c>
      <c r="C32" t="s">
        <v>68</v>
      </c>
      <c r="D32" t="s">
        <v>41</v>
      </c>
      <c r="E32" t="s">
        <v>136</v>
      </c>
      <c r="F32">
        <v>24</v>
      </c>
      <c r="G32" t="s">
        <v>29</v>
      </c>
      <c r="H32">
        <v>0</v>
      </c>
      <c r="I32">
        <v>1</v>
      </c>
      <c r="J32">
        <v>35</v>
      </c>
      <c r="K32" t="s">
        <v>1113</v>
      </c>
    </row>
    <row r="33" spans="1:11" x14ac:dyDescent="0.3">
      <c r="A33" t="s">
        <v>53</v>
      </c>
      <c r="B33">
        <v>11</v>
      </c>
      <c r="C33" t="s">
        <v>68</v>
      </c>
      <c r="D33" t="s">
        <v>41</v>
      </c>
      <c r="E33" t="s">
        <v>138</v>
      </c>
      <c r="F33">
        <v>21</v>
      </c>
      <c r="G33" t="s">
        <v>53</v>
      </c>
      <c r="H33">
        <v>1</v>
      </c>
      <c r="I33">
        <v>1</v>
      </c>
      <c r="J33">
        <v>19</v>
      </c>
      <c r="K33" t="s">
        <v>1113</v>
      </c>
    </row>
    <row r="34" spans="1:11" x14ac:dyDescent="0.3">
      <c r="A34" t="s">
        <v>53</v>
      </c>
      <c r="B34">
        <v>27</v>
      </c>
      <c r="C34" t="s">
        <v>40</v>
      </c>
      <c r="D34" t="s">
        <v>41</v>
      </c>
      <c r="E34" t="s">
        <v>804</v>
      </c>
      <c r="F34">
        <v>16</v>
      </c>
      <c r="G34" t="s">
        <v>53</v>
      </c>
      <c r="H34">
        <v>1</v>
      </c>
      <c r="I34">
        <v>1</v>
      </c>
      <c r="J34">
        <v>57</v>
      </c>
      <c r="K34" t="s">
        <v>1112</v>
      </c>
    </row>
    <row r="35" spans="1:11" x14ac:dyDescent="0.3">
      <c r="A35" t="s">
        <v>29</v>
      </c>
      <c r="B35">
        <v>50</v>
      </c>
      <c r="C35" t="s">
        <v>61</v>
      </c>
      <c r="D35" t="s">
        <v>41</v>
      </c>
      <c r="E35" t="s">
        <v>143</v>
      </c>
      <c r="F35">
        <v>14</v>
      </c>
      <c r="G35" t="s">
        <v>29</v>
      </c>
      <c r="H35">
        <v>0</v>
      </c>
      <c r="I35">
        <v>1</v>
      </c>
      <c r="J35">
        <v>49</v>
      </c>
      <c r="K35" t="s">
        <v>1112</v>
      </c>
    </row>
    <row r="36" spans="1:11" x14ac:dyDescent="0.3">
      <c r="A36" t="s">
        <v>29</v>
      </c>
      <c r="B36">
        <v>49</v>
      </c>
      <c r="C36" t="s">
        <v>61</v>
      </c>
      <c r="D36" t="s">
        <v>41</v>
      </c>
      <c r="E36" t="s">
        <v>146</v>
      </c>
      <c r="F36">
        <v>26</v>
      </c>
      <c r="G36" t="s">
        <v>29</v>
      </c>
      <c r="H36">
        <v>0</v>
      </c>
      <c r="I36">
        <v>1</v>
      </c>
      <c r="J36">
        <v>21</v>
      </c>
      <c r="K36" t="s">
        <v>1113</v>
      </c>
    </row>
    <row r="37" spans="1:11" x14ac:dyDescent="0.3">
      <c r="A37" t="s">
        <v>29</v>
      </c>
      <c r="B37">
        <v>40</v>
      </c>
      <c r="C37" t="s">
        <v>40</v>
      </c>
      <c r="D37" t="s">
        <v>41</v>
      </c>
      <c r="E37" t="s">
        <v>800</v>
      </c>
      <c r="F37">
        <v>1</v>
      </c>
      <c r="G37" t="s">
        <v>29</v>
      </c>
      <c r="H37">
        <v>0</v>
      </c>
      <c r="I37">
        <v>1</v>
      </c>
      <c r="J37">
        <v>8</v>
      </c>
      <c r="K37" t="s">
        <v>1111</v>
      </c>
    </row>
    <row r="38" spans="1:11" x14ac:dyDescent="0.3">
      <c r="A38" t="s">
        <v>53</v>
      </c>
      <c r="B38">
        <v>29</v>
      </c>
      <c r="C38" t="s">
        <v>40</v>
      </c>
      <c r="D38" t="s">
        <v>41</v>
      </c>
      <c r="E38" t="s">
        <v>798</v>
      </c>
      <c r="F38">
        <v>34</v>
      </c>
      <c r="G38" t="s">
        <v>53</v>
      </c>
      <c r="H38">
        <v>1</v>
      </c>
      <c r="I38">
        <v>1</v>
      </c>
      <c r="J38">
        <v>31</v>
      </c>
      <c r="K38" t="s">
        <v>1113</v>
      </c>
    </row>
    <row r="39" spans="1:11" x14ac:dyDescent="0.3">
      <c r="A39" t="s">
        <v>53</v>
      </c>
      <c r="B39">
        <v>21</v>
      </c>
      <c r="C39" t="s">
        <v>68</v>
      </c>
      <c r="D39" t="s">
        <v>41</v>
      </c>
      <c r="E39" t="s">
        <v>776</v>
      </c>
      <c r="F39">
        <v>13</v>
      </c>
      <c r="G39" t="s">
        <v>53</v>
      </c>
      <c r="H39">
        <v>1</v>
      </c>
      <c r="I39">
        <v>1</v>
      </c>
      <c r="J39">
        <v>51</v>
      </c>
      <c r="K39" t="s">
        <v>1112</v>
      </c>
    </row>
    <row r="40" spans="1:11" x14ac:dyDescent="0.3">
      <c r="A40" t="s">
        <v>53</v>
      </c>
      <c r="B40">
        <v>29</v>
      </c>
      <c r="C40" t="s">
        <v>61</v>
      </c>
      <c r="D40" t="s">
        <v>41</v>
      </c>
      <c r="E40" t="s">
        <v>154</v>
      </c>
      <c r="F40">
        <v>8</v>
      </c>
      <c r="G40" t="s">
        <v>53</v>
      </c>
      <c r="H40">
        <v>1</v>
      </c>
      <c r="I40">
        <v>1</v>
      </c>
      <c r="J40">
        <v>16</v>
      </c>
      <c r="K40" t="s">
        <v>1114</v>
      </c>
    </row>
    <row r="41" spans="1:11" x14ac:dyDescent="0.3">
      <c r="A41" t="s">
        <v>29</v>
      </c>
      <c r="B41">
        <v>18</v>
      </c>
      <c r="C41" t="s">
        <v>68</v>
      </c>
      <c r="D41" t="s">
        <v>41</v>
      </c>
      <c r="E41" t="s">
        <v>157</v>
      </c>
      <c r="F41">
        <v>15</v>
      </c>
      <c r="G41" t="s">
        <v>29</v>
      </c>
      <c r="H41">
        <v>0</v>
      </c>
      <c r="I41">
        <v>1</v>
      </c>
      <c r="J41">
        <v>12</v>
      </c>
      <c r="K41" t="s">
        <v>1112</v>
      </c>
    </row>
    <row r="42" spans="1:11" x14ac:dyDescent="0.3">
      <c r="A42" t="s">
        <v>29</v>
      </c>
      <c r="B42">
        <v>24</v>
      </c>
      <c r="C42" t="s">
        <v>61</v>
      </c>
      <c r="D42" t="s">
        <v>41</v>
      </c>
      <c r="E42" t="s">
        <v>768</v>
      </c>
      <c r="F42">
        <v>33</v>
      </c>
      <c r="G42" t="s">
        <v>29</v>
      </c>
      <c r="H42">
        <v>0</v>
      </c>
      <c r="I42">
        <v>1</v>
      </c>
      <c r="J42">
        <v>13</v>
      </c>
      <c r="K42" t="s">
        <v>1113</v>
      </c>
    </row>
    <row r="43" spans="1:11" x14ac:dyDescent="0.3">
      <c r="A43" t="s">
        <v>29</v>
      </c>
      <c r="B43">
        <v>16</v>
      </c>
      <c r="C43" t="s">
        <v>30</v>
      </c>
      <c r="D43" t="s">
        <v>41</v>
      </c>
      <c r="E43" t="s">
        <v>762</v>
      </c>
      <c r="F43">
        <v>23</v>
      </c>
      <c r="G43" t="s">
        <v>29</v>
      </c>
      <c r="H43">
        <v>0</v>
      </c>
      <c r="I43">
        <v>1</v>
      </c>
      <c r="J43">
        <v>22</v>
      </c>
      <c r="K43" t="s">
        <v>1113</v>
      </c>
    </row>
    <row r="44" spans="1:11" x14ac:dyDescent="0.3">
      <c r="A44" t="s">
        <v>29</v>
      </c>
      <c r="B44">
        <v>58</v>
      </c>
      <c r="C44" t="s">
        <v>68</v>
      </c>
      <c r="D44" t="s">
        <v>41</v>
      </c>
      <c r="E44" t="s">
        <v>760</v>
      </c>
      <c r="F44">
        <v>5</v>
      </c>
      <c r="G44" t="s">
        <v>29</v>
      </c>
      <c r="H44">
        <v>0</v>
      </c>
      <c r="I44">
        <v>1</v>
      </c>
      <c r="J44">
        <v>29</v>
      </c>
      <c r="K44" t="s">
        <v>1111</v>
      </c>
    </row>
    <row r="45" spans="1:11" x14ac:dyDescent="0.3">
      <c r="A45" t="s">
        <v>29</v>
      </c>
      <c r="B45">
        <v>13</v>
      </c>
      <c r="C45" t="s">
        <v>40</v>
      </c>
      <c r="D45" t="s">
        <v>41</v>
      </c>
      <c r="E45" t="s">
        <v>750</v>
      </c>
      <c r="F45">
        <v>28</v>
      </c>
      <c r="G45" t="s">
        <v>29</v>
      </c>
      <c r="H45">
        <v>0</v>
      </c>
      <c r="I45">
        <v>1</v>
      </c>
      <c r="J45">
        <v>12</v>
      </c>
      <c r="K45" t="s">
        <v>1113</v>
      </c>
    </row>
    <row r="46" spans="1:11" x14ac:dyDescent="0.3">
      <c r="A46" t="s">
        <v>29</v>
      </c>
      <c r="B46">
        <v>21</v>
      </c>
      <c r="C46" t="s">
        <v>40</v>
      </c>
      <c r="D46" t="s">
        <v>41</v>
      </c>
      <c r="E46" t="s">
        <v>168</v>
      </c>
      <c r="F46">
        <v>28</v>
      </c>
      <c r="G46" t="s">
        <v>29</v>
      </c>
      <c r="H46">
        <v>0</v>
      </c>
      <c r="I46">
        <v>1</v>
      </c>
      <c r="J46">
        <v>40</v>
      </c>
      <c r="K46" t="s">
        <v>1113</v>
      </c>
    </row>
    <row r="47" spans="1:11" x14ac:dyDescent="0.3">
      <c r="A47" t="s">
        <v>29</v>
      </c>
      <c r="B47">
        <v>15</v>
      </c>
      <c r="C47" t="s">
        <v>68</v>
      </c>
      <c r="D47" t="s">
        <v>41</v>
      </c>
      <c r="E47" t="s">
        <v>170</v>
      </c>
      <c r="F47">
        <v>31</v>
      </c>
      <c r="G47" t="s">
        <v>29</v>
      </c>
      <c r="H47">
        <v>0</v>
      </c>
      <c r="I47">
        <v>1</v>
      </c>
      <c r="J47">
        <v>42</v>
      </c>
      <c r="K47" t="s">
        <v>1113</v>
      </c>
    </row>
    <row r="48" spans="1:11" x14ac:dyDescent="0.3">
      <c r="A48" t="s">
        <v>29</v>
      </c>
      <c r="B48">
        <v>7</v>
      </c>
      <c r="C48" t="s">
        <v>68</v>
      </c>
      <c r="D48" t="s">
        <v>41</v>
      </c>
      <c r="E48" t="s">
        <v>172</v>
      </c>
      <c r="F48">
        <v>13</v>
      </c>
      <c r="G48" t="s">
        <v>29</v>
      </c>
      <c r="H48">
        <v>0</v>
      </c>
      <c r="I48">
        <v>1</v>
      </c>
      <c r="J48">
        <v>30</v>
      </c>
      <c r="K48" t="s">
        <v>1112</v>
      </c>
    </row>
    <row r="49" spans="1:11" x14ac:dyDescent="0.3">
      <c r="A49" t="s">
        <v>29</v>
      </c>
      <c r="B49">
        <v>12</v>
      </c>
      <c r="C49" t="s">
        <v>40</v>
      </c>
      <c r="D49" t="s">
        <v>41</v>
      </c>
      <c r="E49" t="s">
        <v>742</v>
      </c>
      <c r="F49">
        <v>17</v>
      </c>
      <c r="G49" t="s">
        <v>29</v>
      </c>
      <c r="H49">
        <v>0</v>
      </c>
      <c r="I49">
        <v>1</v>
      </c>
      <c r="J49">
        <v>41</v>
      </c>
      <c r="K49" t="s">
        <v>1112</v>
      </c>
    </row>
    <row r="50" spans="1:11" x14ac:dyDescent="0.3">
      <c r="A50" t="s">
        <v>29</v>
      </c>
      <c r="B50">
        <v>26</v>
      </c>
      <c r="C50" t="s">
        <v>61</v>
      </c>
      <c r="D50" t="s">
        <v>41</v>
      </c>
      <c r="E50" t="s">
        <v>730</v>
      </c>
      <c r="F50">
        <v>7</v>
      </c>
      <c r="G50" t="s">
        <v>29</v>
      </c>
      <c r="H50">
        <v>0</v>
      </c>
      <c r="I50">
        <v>1</v>
      </c>
      <c r="J50">
        <v>31</v>
      </c>
      <c r="K50" t="s">
        <v>1114</v>
      </c>
    </row>
    <row r="51" spans="1:11" x14ac:dyDescent="0.3">
      <c r="A51" t="s">
        <v>29</v>
      </c>
      <c r="B51">
        <v>30</v>
      </c>
      <c r="C51" t="s">
        <v>68</v>
      </c>
      <c r="D51" t="s">
        <v>41</v>
      </c>
      <c r="E51" t="s">
        <v>712</v>
      </c>
      <c r="F51">
        <v>1</v>
      </c>
      <c r="G51" t="s">
        <v>29</v>
      </c>
      <c r="H51">
        <v>0</v>
      </c>
      <c r="I51">
        <v>1</v>
      </c>
      <c r="J51">
        <v>13</v>
      </c>
      <c r="K51" t="s">
        <v>1111</v>
      </c>
    </row>
    <row r="52" spans="1:11" x14ac:dyDescent="0.3">
      <c r="A52" t="s">
        <v>53</v>
      </c>
      <c r="B52">
        <v>19</v>
      </c>
      <c r="C52" t="s">
        <v>68</v>
      </c>
      <c r="D52" t="s">
        <v>41</v>
      </c>
      <c r="E52" t="s">
        <v>706</v>
      </c>
      <c r="F52">
        <v>35</v>
      </c>
      <c r="G52" t="s">
        <v>53</v>
      </c>
      <c r="H52">
        <v>1</v>
      </c>
      <c r="I52">
        <v>1</v>
      </c>
      <c r="J52">
        <v>45</v>
      </c>
      <c r="K52" t="s">
        <v>1113</v>
      </c>
    </row>
    <row r="53" spans="1:11" x14ac:dyDescent="0.3">
      <c r="A53" t="s">
        <v>29</v>
      </c>
      <c r="B53">
        <v>41</v>
      </c>
      <c r="C53" t="s">
        <v>68</v>
      </c>
      <c r="D53" t="s">
        <v>41</v>
      </c>
      <c r="E53" t="s">
        <v>700</v>
      </c>
      <c r="F53">
        <v>10</v>
      </c>
      <c r="G53" t="s">
        <v>29</v>
      </c>
      <c r="H53">
        <v>0</v>
      </c>
      <c r="I53">
        <v>1</v>
      </c>
      <c r="J53">
        <v>53</v>
      </c>
      <c r="K53" t="s">
        <v>1114</v>
      </c>
    </row>
    <row r="54" spans="1:11" x14ac:dyDescent="0.3">
      <c r="A54" t="s">
        <v>53</v>
      </c>
      <c r="B54">
        <v>28</v>
      </c>
      <c r="C54" t="s">
        <v>40</v>
      </c>
      <c r="D54" t="s">
        <v>41</v>
      </c>
      <c r="E54" t="s">
        <v>696</v>
      </c>
      <c r="F54">
        <v>29</v>
      </c>
      <c r="G54" t="s">
        <v>53</v>
      </c>
      <c r="H54">
        <v>1</v>
      </c>
      <c r="I54">
        <v>1</v>
      </c>
      <c r="J54">
        <v>16</v>
      </c>
      <c r="K54" t="s">
        <v>1113</v>
      </c>
    </row>
    <row r="55" spans="1:11" x14ac:dyDescent="0.3">
      <c r="A55" t="s">
        <v>29</v>
      </c>
      <c r="B55">
        <v>42</v>
      </c>
      <c r="C55" t="s">
        <v>68</v>
      </c>
      <c r="D55" t="s">
        <v>41</v>
      </c>
      <c r="E55" t="s">
        <v>680</v>
      </c>
      <c r="F55">
        <v>29</v>
      </c>
      <c r="G55" t="s">
        <v>29</v>
      </c>
      <c r="H55">
        <v>0</v>
      </c>
      <c r="I55">
        <v>1</v>
      </c>
      <c r="J55">
        <v>29</v>
      </c>
      <c r="K55" t="s">
        <v>1113</v>
      </c>
    </row>
    <row r="56" spans="1:11" x14ac:dyDescent="0.3">
      <c r="A56" t="s">
        <v>29</v>
      </c>
      <c r="B56">
        <v>20</v>
      </c>
      <c r="C56" t="s">
        <v>61</v>
      </c>
      <c r="D56" t="s">
        <v>41</v>
      </c>
      <c r="E56" t="s">
        <v>195</v>
      </c>
      <c r="F56">
        <v>24</v>
      </c>
      <c r="G56" t="s">
        <v>29</v>
      </c>
      <c r="H56">
        <v>0</v>
      </c>
      <c r="I56">
        <v>1</v>
      </c>
      <c r="J56">
        <v>19</v>
      </c>
      <c r="K56" t="s">
        <v>1113</v>
      </c>
    </row>
    <row r="57" spans="1:11" x14ac:dyDescent="0.3">
      <c r="A57" t="s">
        <v>53</v>
      </c>
      <c r="B57">
        <v>6</v>
      </c>
      <c r="C57" t="s">
        <v>61</v>
      </c>
      <c r="D57" t="s">
        <v>41</v>
      </c>
      <c r="E57" t="s">
        <v>664</v>
      </c>
      <c r="F57">
        <v>16</v>
      </c>
      <c r="G57" t="s">
        <v>53</v>
      </c>
      <c r="H57">
        <v>1</v>
      </c>
      <c r="I57">
        <v>1</v>
      </c>
      <c r="J57">
        <v>37</v>
      </c>
      <c r="K57" t="s">
        <v>1112</v>
      </c>
    </row>
    <row r="58" spans="1:11" x14ac:dyDescent="0.3">
      <c r="A58" t="s">
        <v>29</v>
      </c>
      <c r="B58">
        <v>7</v>
      </c>
      <c r="C58" t="s">
        <v>61</v>
      </c>
      <c r="D58" t="s">
        <v>41</v>
      </c>
      <c r="E58" t="s">
        <v>654</v>
      </c>
      <c r="F58">
        <v>4</v>
      </c>
      <c r="G58" t="s">
        <v>29</v>
      </c>
      <c r="H58">
        <v>0</v>
      </c>
      <c r="I58">
        <v>1</v>
      </c>
      <c r="J58">
        <v>32</v>
      </c>
      <c r="K58" t="s">
        <v>1111</v>
      </c>
    </row>
    <row r="59" spans="1:11" x14ac:dyDescent="0.3">
      <c r="A59" t="s">
        <v>29</v>
      </c>
      <c r="B59">
        <v>55</v>
      </c>
      <c r="C59" t="s">
        <v>61</v>
      </c>
      <c r="D59" t="s">
        <v>41</v>
      </c>
      <c r="E59" t="s">
        <v>640</v>
      </c>
      <c r="F59">
        <v>4</v>
      </c>
      <c r="G59" t="s">
        <v>29</v>
      </c>
      <c r="H59">
        <v>0</v>
      </c>
      <c r="I59">
        <v>1</v>
      </c>
      <c r="J59">
        <v>40</v>
      </c>
      <c r="K59" t="s">
        <v>1111</v>
      </c>
    </row>
    <row r="60" spans="1:11" x14ac:dyDescent="0.3">
      <c r="A60" t="s">
        <v>29</v>
      </c>
      <c r="B60">
        <v>52</v>
      </c>
      <c r="C60" t="s">
        <v>30</v>
      </c>
      <c r="D60" t="s">
        <v>41</v>
      </c>
      <c r="E60" t="s">
        <v>204</v>
      </c>
      <c r="F60">
        <v>6</v>
      </c>
      <c r="G60" t="s">
        <v>29</v>
      </c>
      <c r="H60">
        <v>0</v>
      </c>
      <c r="I60">
        <v>1</v>
      </c>
      <c r="J60">
        <v>10</v>
      </c>
      <c r="K60" t="s">
        <v>1114</v>
      </c>
    </row>
    <row r="61" spans="1:11" x14ac:dyDescent="0.3">
      <c r="A61" t="s">
        <v>29</v>
      </c>
      <c r="B61">
        <v>39</v>
      </c>
      <c r="C61" t="s">
        <v>40</v>
      </c>
      <c r="D61" t="s">
        <v>41</v>
      </c>
      <c r="E61" t="s">
        <v>632</v>
      </c>
      <c r="F61">
        <v>10</v>
      </c>
      <c r="G61" t="s">
        <v>29</v>
      </c>
      <c r="H61">
        <v>0</v>
      </c>
      <c r="I61">
        <v>1</v>
      </c>
      <c r="J61">
        <v>24</v>
      </c>
      <c r="K61" t="s">
        <v>1114</v>
      </c>
    </row>
    <row r="62" spans="1:11" x14ac:dyDescent="0.3">
      <c r="A62" t="s">
        <v>29</v>
      </c>
      <c r="B62">
        <v>22</v>
      </c>
      <c r="C62" t="s">
        <v>30</v>
      </c>
      <c r="D62" t="s">
        <v>41</v>
      </c>
      <c r="E62" t="s">
        <v>612</v>
      </c>
      <c r="F62">
        <v>5</v>
      </c>
      <c r="G62" t="s">
        <v>29</v>
      </c>
      <c r="H62">
        <v>0</v>
      </c>
      <c r="I62">
        <v>1</v>
      </c>
      <c r="J62">
        <v>19</v>
      </c>
      <c r="K62" t="s">
        <v>1111</v>
      </c>
    </row>
    <row r="63" spans="1:11" x14ac:dyDescent="0.3">
      <c r="A63" t="s">
        <v>29</v>
      </c>
      <c r="B63">
        <v>21</v>
      </c>
      <c r="C63" t="s">
        <v>61</v>
      </c>
      <c r="D63" t="s">
        <v>41</v>
      </c>
      <c r="E63" t="s">
        <v>210</v>
      </c>
      <c r="F63">
        <v>3</v>
      </c>
      <c r="G63" t="s">
        <v>29</v>
      </c>
      <c r="H63">
        <v>0</v>
      </c>
      <c r="I63">
        <v>1</v>
      </c>
      <c r="J63">
        <v>34</v>
      </c>
      <c r="K63" t="s">
        <v>1111</v>
      </c>
    </row>
    <row r="64" spans="1:11" x14ac:dyDescent="0.3">
      <c r="A64" t="s">
        <v>29</v>
      </c>
      <c r="B64">
        <v>36</v>
      </c>
      <c r="C64" t="s">
        <v>61</v>
      </c>
      <c r="D64" t="s">
        <v>41</v>
      </c>
      <c r="E64" t="s">
        <v>608</v>
      </c>
      <c r="F64">
        <v>6</v>
      </c>
      <c r="G64" t="s">
        <v>29</v>
      </c>
      <c r="H64">
        <v>0</v>
      </c>
      <c r="I64">
        <v>1</v>
      </c>
      <c r="J64">
        <v>33</v>
      </c>
      <c r="K64" t="s">
        <v>1114</v>
      </c>
    </row>
    <row r="65" spans="1:11" x14ac:dyDescent="0.3">
      <c r="A65" t="s">
        <v>29</v>
      </c>
      <c r="B65">
        <v>12</v>
      </c>
      <c r="C65" t="s">
        <v>40</v>
      </c>
      <c r="D65" t="s">
        <v>41</v>
      </c>
      <c r="E65" t="s">
        <v>215</v>
      </c>
      <c r="F65">
        <v>10</v>
      </c>
      <c r="G65" t="s">
        <v>29</v>
      </c>
      <c r="H65">
        <v>0</v>
      </c>
      <c r="I65">
        <v>1</v>
      </c>
      <c r="J65">
        <v>53</v>
      </c>
      <c r="K65" t="s">
        <v>1114</v>
      </c>
    </row>
    <row r="66" spans="1:11" x14ac:dyDescent="0.3">
      <c r="A66" t="s">
        <v>29</v>
      </c>
      <c r="B66">
        <v>25</v>
      </c>
      <c r="C66" t="s">
        <v>30</v>
      </c>
      <c r="D66" t="s">
        <v>41</v>
      </c>
      <c r="E66" t="s">
        <v>604</v>
      </c>
      <c r="F66">
        <v>19</v>
      </c>
      <c r="G66" t="s">
        <v>29</v>
      </c>
      <c r="H66">
        <v>0</v>
      </c>
      <c r="I66">
        <v>1</v>
      </c>
      <c r="J66">
        <v>13</v>
      </c>
      <c r="K66" t="s">
        <v>1112</v>
      </c>
    </row>
    <row r="67" spans="1:11" x14ac:dyDescent="0.3">
      <c r="A67" t="s">
        <v>53</v>
      </c>
      <c r="B67">
        <v>33</v>
      </c>
      <c r="C67" t="s">
        <v>68</v>
      </c>
      <c r="D67" t="s">
        <v>41</v>
      </c>
      <c r="E67" t="s">
        <v>588</v>
      </c>
      <c r="F67">
        <v>2</v>
      </c>
      <c r="G67" t="s">
        <v>53</v>
      </c>
      <c r="H67">
        <v>1</v>
      </c>
      <c r="I67">
        <v>1</v>
      </c>
      <c r="J67">
        <v>54</v>
      </c>
      <c r="K67" t="s">
        <v>1111</v>
      </c>
    </row>
    <row r="68" spans="1:11" x14ac:dyDescent="0.3">
      <c r="A68" t="s">
        <v>29</v>
      </c>
      <c r="B68">
        <v>28</v>
      </c>
      <c r="C68" t="s">
        <v>40</v>
      </c>
      <c r="D68" t="s">
        <v>41</v>
      </c>
      <c r="E68" t="s">
        <v>584</v>
      </c>
      <c r="F68">
        <v>33</v>
      </c>
      <c r="G68" t="s">
        <v>29</v>
      </c>
      <c r="H68">
        <v>0</v>
      </c>
      <c r="I68">
        <v>1</v>
      </c>
      <c r="J68">
        <v>11</v>
      </c>
      <c r="K68" t="s">
        <v>1113</v>
      </c>
    </row>
    <row r="69" spans="1:11" x14ac:dyDescent="0.3">
      <c r="A69" t="s">
        <v>29</v>
      </c>
      <c r="B69">
        <v>6</v>
      </c>
      <c r="C69" t="s">
        <v>68</v>
      </c>
      <c r="D69" t="s">
        <v>41</v>
      </c>
      <c r="E69" t="s">
        <v>546</v>
      </c>
      <c r="F69">
        <v>27</v>
      </c>
      <c r="G69" t="s">
        <v>29</v>
      </c>
      <c r="H69">
        <v>0</v>
      </c>
      <c r="I69">
        <v>1</v>
      </c>
      <c r="J69">
        <v>25</v>
      </c>
      <c r="K69" t="s">
        <v>1113</v>
      </c>
    </row>
    <row r="70" spans="1:11" x14ac:dyDescent="0.3">
      <c r="A70" t="s">
        <v>29</v>
      </c>
      <c r="B70">
        <v>37</v>
      </c>
      <c r="C70" t="s">
        <v>30</v>
      </c>
      <c r="D70" t="s">
        <v>41</v>
      </c>
      <c r="E70" t="s">
        <v>544</v>
      </c>
      <c r="F70">
        <v>5</v>
      </c>
      <c r="G70" t="s">
        <v>29</v>
      </c>
      <c r="H70">
        <v>0</v>
      </c>
      <c r="I70">
        <v>1</v>
      </c>
      <c r="J70">
        <v>53</v>
      </c>
      <c r="K70" t="s">
        <v>1111</v>
      </c>
    </row>
    <row r="71" spans="1:11" x14ac:dyDescent="0.3">
      <c r="A71" t="s">
        <v>29</v>
      </c>
      <c r="B71">
        <v>29</v>
      </c>
      <c r="C71" t="s">
        <v>30</v>
      </c>
      <c r="D71" t="s">
        <v>41</v>
      </c>
      <c r="E71" t="s">
        <v>524</v>
      </c>
      <c r="F71">
        <v>19</v>
      </c>
      <c r="G71" t="s">
        <v>29</v>
      </c>
      <c r="H71">
        <v>0</v>
      </c>
      <c r="I71">
        <v>1</v>
      </c>
      <c r="J71">
        <v>19</v>
      </c>
      <c r="K71" t="s">
        <v>1112</v>
      </c>
    </row>
    <row r="72" spans="1:11" x14ac:dyDescent="0.3">
      <c r="A72" t="s">
        <v>29</v>
      </c>
      <c r="B72">
        <v>39</v>
      </c>
      <c r="C72" t="s">
        <v>68</v>
      </c>
      <c r="D72" t="s">
        <v>41</v>
      </c>
      <c r="E72" t="s">
        <v>518</v>
      </c>
      <c r="F72">
        <v>7</v>
      </c>
      <c r="G72" t="s">
        <v>29</v>
      </c>
      <c r="H72">
        <v>0</v>
      </c>
      <c r="I72">
        <v>1</v>
      </c>
      <c r="J72">
        <v>13</v>
      </c>
      <c r="K72" t="s">
        <v>1114</v>
      </c>
    </row>
    <row r="73" spans="1:11" x14ac:dyDescent="0.3">
      <c r="A73" t="s">
        <v>29</v>
      </c>
      <c r="B73">
        <v>60</v>
      </c>
      <c r="C73" t="s">
        <v>40</v>
      </c>
      <c r="D73" t="s">
        <v>41</v>
      </c>
      <c r="E73" t="s">
        <v>512</v>
      </c>
      <c r="F73">
        <v>3</v>
      </c>
      <c r="G73" t="s">
        <v>29</v>
      </c>
      <c r="H73">
        <v>0</v>
      </c>
      <c r="I73">
        <v>1</v>
      </c>
      <c r="J73">
        <v>54</v>
      </c>
      <c r="K73" t="s">
        <v>1111</v>
      </c>
    </row>
    <row r="74" spans="1:11" x14ac:dyDescent="0.3">
      <c r="A74" t="s">
        <v>29</v>
      </c>
      <c r="B74">
        <v>18</v>
      </c>
      <c r="C74" t="s">
        <v>30</v>
      </c>
      <c r="D74" t="s">
        <v>41</v>
      </c>
      <c r="E74" t="s">
        <v>510</v>
      </c>
      <c r="F74">
        <v>26</v>
      </c>
      <c r="G74" t="s">
        <v>29</v>
      </c>
      <c r="H74">
        <v>0</v>
      </c>
      <c r="I74">
        <v>1</v>
      </c>
      <c r="J74">
        <v>33</v>
      </c>
      <c r="K74" t="s">
        <v>1113</v>
      </c>
    </row>
    <row r="75" spans="1:11" x14ac:dyDescent="0.3">
      <c r="A75" t="s">
        <v>53</v>
      </c>
      <c r="B75">
        <v>60</v>
      </c>
      <c r="C75" t="s">
        <v>68</v>
      </c>
      <c r="D75" t="s">
        <v>41</v>
      </c>
      <c r="E75" t="s">
        <v>496</v>
      </c>
      <c r="F75">
        <v>25</v>
      </c>
      <c r="G75" t="s">
        <v>53</v>
      </c>
      <c r="H75">
        <v>1</v>
      </c>
      <c r="I75">
        <v>1</v>
      </c>
      <c r="J75">
        <v>18</v>
      </c>
      <c r="K75" t="s">
        <v>1113</v>
      </c>
    </row>
    <row r="76" spans="1:11" x14ac:dyDescent="0.3">
      <c r="A76" t="s">
        <v>29</v>
      </c>
      <c r="B76">
        <v>22</v>
      </c>
      <c r="C76" t="s">
        <v>30</v>
      </c>
      <c r="D76" t="s">
        <v>41</v>
      </c>
      <c r="E76" t="s">
        <v>490</v>
      </c>
      <c r="F76">
        <v>3</v>
      </c>
      <c r="G76" t="s">
        <v>29</v>
      </c>
      <c r="H76">
        <v>0</v>
      </c>
      <c r="I76">
        <v>1</v>
      </c>
      <c r="J76">
        <v>41</v>
      </c>
      <c r="K76" t="s">
        <v>1111</v>
      </c>
    </row>
    <row r="77" spans="1:11" x14ac:dyDescent="0.3">
      <c r="A77" t="s">
        <v>53</v>
      </c>
      <c r="B77">
        <v>14</v>
      </c>
      <c r="C77" t="s">
        <v>40</v>
      </c>
      <c r="D77" t="s">
        <v>41</v>
      </c>
      <c r="E77" t="s">
        <v>488</v>
      </c>
      <c r="F77">
        <v>2</v>
      </c>
      <c r="G77" t="s">
        <v>53</v>
      </c>
      <c r="H77">
        <v>1</v>
      </c>
      <c r="I77">
        <v>1</v>
      </c>
      <c r="J77">
        <v>8</v>
      </c>
      <c r="K77" t="s">
        <v>1111</v>
      </c>
    </row>
    <row r="78" spans="1:11" x14ac:dyDescent="0.3">
      <c r="A78" t="s">
        <v>29</v>
      </c>
      <c r="B78">
        <v>31</v>
      </c>
      <c r="C78" t="s">
        <v>30</v>
      </c>
      <c r="D78" t="s">
        <v>41</v>
      </c>
      <c r="E78" t="s">
        <v>484</v>
      </c>
      <c r="F78">
        <v>35</v>
      </c>
      <c r="G78" t="s">
        <v>29</v>
      </c>
      <c r="H78">
        <v>0</v>
      </c>
      <c r="I78">
        <v>1</v>
      </c>
      <c r="J78">
        <v>42</v>
      </c>
      <c r="K78" t="s">
        <v>1113</v>
      </c>
    </row>
    <row r="79" spans="1:11" x14ac:dyDescent="0.3">
      <c r="A79" t="s">
        <v>29</v>
      </c>
      <c r="B79">
        <v>18</v>
      </c>
      <c r="C79" t="s">
        <v>30</v>
      </c>
      <c r="D79" t="s">
        <v>41</v>
      </c>
      <c r="E79" t="s">
        <v>480</v>
      </c>
      <c r="F79">
        <v>35</v>
      </c>
      <c r="G79" t="s">
        <v>29</v>
      </c>
      <c r="H79">
        <v>0</v>
      </c>
      <c r="I79">
        <v>1</v>
      </c>
      <c r="J79">
        <v>31</v>
      </c>
      <c r="K79" t="s">
        <v>1113</v>
      </c>
    </row>
    <row r="80" spans="1:11" x14ac:dyDescent="0.3">
      <c r="A80" t="s">
        <v>53</v>
      </c>
      <c r="B80">
        <v>8</v>
      </c>
      <c r="C80" t="s">
        <v>30</v>
      </c>
      <c r="D80" t="s">
        <v>41</v>
      </c>
      <c r="E80" t="s">
        <v>247</v>
      </c>
      <c r="F80">
        <v>6</v>
      </c>
      <c r="G80" t="s">
        <v>53</v>
      </c>
      <c r="H80">
        <v>1</v>
      </c>
      <c r="I80">
        <v>1</v>
      </c>
      <c r="J80">
        <v>46</v>
      </c>
      <c r="K80" t="s">
        <v>1114</v>
      </c>
    </row>
    <row r="81" spans="1:11" x14ac:dyDescent="0.3">
      <c r="A81" t="s">
        <v>29</v>
      </c>
      <c r="B81">
        <v>30</v>
      </c>
      <c r="C81" t="s">
        <v>30</v>
      </c>
      <c r="D81" t="s">
        <v>41</v>
      </c>
      <c r="E81" t="s">
        <v>249</v>
      </c>
      <c r="F81">
        <v>7</v>
      </c>
      <c r="G81" t="s">
        <v>29</v>
      </c>
      <c r="H81">
        <v>0</v>
      </c>
      <c r="I81">
        <v>1</v>
      </c>
      <c r="J81">
        <v>17</v>
      </c>
      <c r="K81" t="s">
        <v>1114</v>
      </c>
    </row>
    <row r="82" spans="1:11" x14ac:dyDescent="0.3">
      <c r="A82" t="s">
        <v>29</v>
      </c>
      <c r="B82">
        <v>33</v>
      </c>
      <c r="C82" t="s">
        <v>40</v>
      </c>
      <c r="D82" t="s">
        <v>41</v>
      </c>
      <c r="E82" t="s">
        <v>446</v>
      </c>
      <c r="F82">
        <v>24</v>
      </c>
      <c r="G82" t="s">
        <v>29</v>
      </c>
      <c r="H82">
        <v>0</v>
      </c>
      <c r="I82">
        <v>1</v>
      </c>
      <c r="J82">
        <v>51</v>
      </c>
      <c r="K82" t="s">
        <v>1113</v>
      </c>
    </row>
    <row r="83" spans="1:11" x14ac:dyDescent="0.3">
      <c r="A83" t="s">
        <v>29</v>
      </c>
      <c r="B83">
        <v>31</v>
      </c>
      <c r="C83" t="s">
        <v>68</v>
      </c>
      <c r="D83" t="s">
        <v>41</v>
      </c>
      <c r="E83" t="s">
        <v>438</v>
      </c>
      <c r="F83">
        <v>30</v>
      </c>
      <c r="G83" t="s">
        <v>29</v>
      </c>
      <c r="H83">
        <v>0</v>
      </c>
      <c r="I83">
        <v>1</v>
      </c>
      <c r="J83">
        <v>16</v>
      </c>
      <c r="K83" t="s">
        <v>1113</v>
      </c>
    </row>
    <row r="84" spans="1:11" x14ac:dyDescent="0.3">
      <c r="A84" t="s">
        <v>29</v>
      </c>
      <c r="B84">
        <v>55</v>
      </c>
      <c r="C84" t="s">
        <v>30</v>
      </c>
      <c r="D84" t="s">
        <v>41</v>
      </c>
      <c r="E84" t="s">
        <v>436</v>
      </c>
      <c r="F84">
        <v>21</v>
      </c>
      <c r="G84" t="s">
        <v>29</v>
      </c>
      <c r="H84">
        <v>0</v>
      </c>
      <c r="I84">
        <v>1</v>
      </c>
      <c r="J84">
        <v>21</v>
      </c>
      <c r="K84" t="s">
        <v>1113</v>
      </c>
    </row>
    <row r="85" spans="1:11" x14ac:dyDescent="0.3">
      <c r="A85" t="s">
        <v>29</v>
      </c>
      <c r="B85">
        <v>35</v>
      </c>
      <c r="C85" t="s">
        <v>40</v>
      </c>
      <c r="D85" t="s">
        <v>41</v>
      </c>
      <c r="E85" t="s">
        <v>426</v>
      </c>
      <c r="F85">
        <v>30</v>
      </c>
      <c r="G85" t="s">
        <v>29</v>
      </c>
      <c r="H85">
        <v>0</v>
      </c>
      <c r="I85">
        <v>1</v>
      </c>
      <c r="J85">
        <v>36</v>
      </c>
      <c r="K85" t="s">
        <v>1113</v>
      </c>
    </row>
    <row r="86" spans="1:11" x14ac:dyDescent="0.3">
      <c r="A86" t="s">
        <v>29</v>
      </c>
      <c r="B86">
        <v>32</v>
      </c>
      <c r="C86" t="s">
        <v>40</v>
      </c>
      <c r="D86" t="s">
        <v>41</v>
      </c>
      <c r="E86" t="s">
        <v>259</v>
      </c>
      <c r="F86">
        <v>6</v>
      </c>
      <c r="G86" t="s">
        <v>29</v>
      </c>
      <c r="H86">
        <v>0</v>
      </c>
      <c r="I86">
        <v>1</v>
      </c>
      <c r="J86">
        <v>43</v>
      </c>
      <c r="K86" t="s">
        <v>1114</v>
      </c>
    </row>
    <row r="87" spans="1:11" x14ac:dyDescent="0.3">
      <c r="A87" t="s">
        <v>53</v>
      </c>
      <c r="B87">
        <v>57</v>
      </c>
      <c r="C87" t="s">
        <v>61</v>
      </c>
      <c r="D87" t="s">
        <v>41</v>
      </c>
      <c r="E87" t="s">
        <v>422</v>
      </c>
      <c r="F87">
        <v>12</v>
      </c>
      <c r="G87" t="s">
        <v>53</v>
      </c>
      <c r="H87">
        <v>1</v>
      </c>
      <c r="I87">
        <v>1</v>
      </c>
      <c r="J87">
        <v>5</v>
      </c>
      <c r="K87" t="s">
        <v>1112</v>
      </c>
    </row>
    <row r="88" spans="1:11" x14ac:dyDescent="0.3">
      <c r="A88" t="s">
        <v>29</v>
      </c>
      <c r="B88">
        <v>10</v>
      </c>
      <c r="C88" t="s">
        <v>40</v>
      </c>
      <c r="D88" t="s">
        <v>41</v>
      </c>
      <c r="E88" t="s">
        <v>263</v>
      </c>
      <c r="F88">
        <v>21</v>
      </c>
      <c r="G88" t="s">
        <v>29</v>
      </c>
      <c r="H88">
        <v>0</v>
      </c>
      <c r="I88">
        <v>1</v>
      </c>
      <c r="J88">
        <v>31</v>
      </c>
      <c r="K88" t="s">
        <v>1113</v>
      </c>
    </row>
    <row r="89" spans="1:11" x14ac:dyDescent="0.3">
      <c r="A89" t="s">
        <v>53</v>
      </c>
      <c r="B89">
        <v>58</v>
      </c>
      <c r="C89" t="s">
        <v>30</v>
      </c>
      <c r="D89" t="s">
        <v>41</v>
      </c>
      <c r="E89" t="s">
        <v>415</v>
      </c>
      <c r="F89">
        <v>16</v>
      </c>
      <c r="G89" t="s">
        <v>53</v>
      </c>
      <c r="H89">
        <v>1</v>
      </c>
      <c r="I89">
        <v>1</v>
      </c>
      <c r="J89">
        <v>10</v>
      </c>
      <c r="K89" t="s">
        <v>1112</v>
      </c>
    </row>
    <row r="90" spans="1:11" x14ac:dyDescent="0.3">
      <c r="A90" t="s">
        <v>29</v>
      </c>
      <c r="B90">
        <v>23</v>
      </c>
      <c r="C90" t="s">
        <v>68</v>
      </c>
      <c r="D90" t="s">
        <v>41</v>
      </c>
      <c r="E90" t="s">
        <v>407</v>
      </c>
      <c r="F90">
        <v>10</v>
      </c>
      <c r="G90" t="s">
        <v>29</v>
      </c>
      <c r="H90">
        <v>0</v>
      </c>
      <c r="I90">
        <v>1</v>
      </c>
      <c r="J90">
        <v>7</v>
      </c>
      <c r="K90" t="s">
        <v>1114</v>
      </c>
    </row>
    <row r="91" spans="1:11" x14ac:dyDescent="0.3">
      <c r="A91" t="s">
        <v>29</v>
      </c>
      <c r="B91">
        <v>29</v>
      </c>
      <c r="C91" t="s">
        <v>61</v>
      </c>
      <c r="D91" t="s">
        <v>41</v>
      </c>
      <c r="E91" t="s">
        <v>269</v>
      </c>
      <c r="F91">
        <v>4</v>
      </c>
      <c r="G91" t="s">
        <v>29</v>
      </c>
      <c r="H91">
        <v>0</v>
      </c>
      <c r="I91">
        <v>1</v>
      </c>
      <c r="J91">
        <v>57</v>
      </c>
      <c r="K91" t="s">
        <v>1111</v>
      </c>
    </row>
    <row r="92" spans="1:11" x14ac:dyDescent="0.3">
      <c r="A92" t="s">
        <v>29</v>
      </c>
      <c r="B92">
        <v>35</v>
      </c>
      <c r="C92" t="s">
        <v>61</v>
      </c>
      <c r="D92" t="s">
        <v>41</v>
      </c>
      <c r="E92" t="s">
        <v>271</v>
      </c>
      <c r="F92">
        <v>21</v>
      </c>
      <c r="G92" t="s">
        <v>29</v>
      </c>
      <c r="H92">
        <v>0</v>
      </c>
      <c r="I92">
        <v>1</v>
      </c>
      <c r="J92">
        <v>49</v>
      </c>
      <c r="K92" t="s">
        <v>1113</v>
      </c>
    </row>
    <row r="93" spans="1:11" x14ac:dyDescent="0.3">
      <c r="A93" t="s">
        <v>53</v>
      </c>
      <c r="B93">
        <v>53</v>
      </c>
      <c r="C93" t="s">
        <v>40</v>
      </c>
      <c r="D93" t="s">
        <v>41</v>
      </c>
      <c r="E93" t="s">
        <v>381</v>
      </c>
      <c r="F93">
        <v>1</v>
      </c>
      <c r="G93" t="s">
        <v>53</v>
      </c>
      <c r="H93">
        <v>1</v>
      </c>
      <c r="I93">
        <v>1</v>
      </c>
      <c r="J93">
        <v>46</v>
      </c>
      <c r="K93" t="s">
        <v>1111</v>
      </c>
    </row>
    <row r="94" spans="1:11" x14ac:dyDescent="0.3">
      <c r="A94" t="s">
        <v>29</v>
      </c>
      <c r="B94">
        <v>9</v>
      </c>
      <c r="C94" t="s">
        <v>40</v>
      </c>
      <c r="D94" t="s">
        <v>41</v>
      </c>
      <c r="E94" t="s">
        <v>275</v>
      </c>
      <c r="F94">
        <v>17</v>
      </c>
      <c r="G94" t="s">
        <v>29</v>
      </c>
      <c r="H94">
        <v>0</v>
      </c>
      <c r="I94">
        <v>1</v>
      </c>
      <c r="J94">
        <v>9</v>
      </c>
      <c r="K94" t="s">
        <v>1112</v>
      </c>
    </row>
    <row r="95" spans="1:11" x14ac:dyDescent="0.3">
      <c r="A95" t="s">
        <v>29</v>
      </c>
      <c r="B95">
        <v>45</v>
      </c>
      <c r="C95" t="s">
        <v>30</v>
      </c>
      <c r="D95" t="s">
        <v>41</v>
      </c>
      <c r="E95" t="s">
        <v>375</v>
      </c>
      <c r="F95">
        <v>2</v>
      </c>
      <c r="G95" t="s">
        <v>29</v>
      </c>
      <c r="H95">
        <v>0</v>
      </c>
      <c r="I95">
        <v>1</v>
      </c>
      <c r="J95">
        <v>46</v>
      </c>
      <c r="K95" t="s">
        <v>1111</v>
      </c>
    </row>
    <row r="96" spans="1:11" x14ac:dyDescent="0.3">
      <c r="A96" t="s">
        <v>29</v>
      </c>
      <c r="B96">
        <v>47</v>
      </c>
      <c r="C96" t="s">
        <v>40</v>
      </c>
      <c r="D96" t="s">
        <v>41</v>
      </c>
      <c r="E96" t="s">
        <v>369</v>
      </c>
      <c r="F96">
        <v>26</v>
      </c>
      <c r="G96" t="s">
        <v>29</v>
      </c>
      <c r="H96">
        <v>0</v>
      </c>
      <c r="I96">
        <v>1</v>
      </c>
      <c r="J96">
        <v>35</v>
      </c>
      <c r="K96" t="s">
        <v>1113</v>
      </c>
    </row>
    <row r="97" spans="1:11" x14ac:dyDescent="0.3">
      <c r="A97" t="s">
        <v>53</v>
      </c>
      <c r="B97">
        <v>32</v>
      </c>
      <c r="C97" t="s">
        <v>68</v>
      </c>
      <c r="D97" t="s">
        <v>41</v>
      </c>
      <c r="E97" t="s">
        <v>365</v>
      </c>
      <c r="F97">
        <v>26</v>
      </c>
      <c r="G97" t="s">
        <v>53</v>
      </c>
      <c r="H97">
        <v>1</v>
      </c>
      <c r="I97">
        <v>1</v>
      </c>
      <c r="J97">
        <v>37</v>
      </c>
      <c r="K97" t="s">
        <v>1113</v>
      </c>
    </row>
    <row r="98" spans="1:11" x14ac:dyDescent="0.3">
      <c r="A98" t="s">
        <v>29</v>
      </c>
      <c r="B98">
        <v>58</v>
      </c>
      <c r="C98" t="s">
        <v>61</v>
      </c>
      <c r="D98" t="s">
        <v>41</v>
      </c>
      <c r="E98" t="s">
        <v>363</v>
      </c>
      <c r="F98">
        <v>6</v>
      </c>
      <c r="G98" t="s">
        <v>29</v>
      </c>
      <c r="H98">
        <v>0</v>
      </c>
      <c r="I98">
        <v>1</v>
      </c>
      <c r="J98">
        <v>13</v>
      </c>
      <c r="K98" t="s">
        <v>1114</v>
      </c>
    </row>
    <row r="99" spans="1:11" x14ac:dyDescent="0.3">
      <c r="A99" t="s">
        <v>29</v>
      </c>
      <c r="B99">
        <v>40</v>
      </c>
      <c r="C99" t="s">
        <v>61</v>
      </c>
      <c r="D99" t="s">
        <v>41</v>
      </c>
      <c r="E99" t="s">
        <v>345</v>
      </c>
      <c r="F99">
        <v>30</v>
      </c>
      <c r="G99" t="s">
        <v>29</v>
      </c>
      <c r="H99">
        <v>0</v>
      </c>
      <c r="I99">
        <v>1</v>
      </c>
      <c r="J99">
        <v>35</v>
      </c>
      <c r="K99" t="s">
        <v>1113</v>
      </c>
    </row>
    <row r="100" spans="1:11" x14ac:dyDescent="0.3">
      <c r="A100" t="s">
        <v>29</v>
      </c>
      <c r="B100">
        <v>28</v>
      </c>
      <c r="C100" t="s">
        <v>40</v>
      </c>
      <c r="D100" t="s">
        <v>41</v>
      </c>
      <c r="E100" t="s">
        <v>331</v>
      </c>
      <c r="F100">
        <v>35</v>
      </c>
      <c r="G100" t="s">
        <v>29</v>
      </c>
      <c r="H100">
        <v>0</v>
      </c>
      <c r="I100">
        <v>1</v>
      </c>
      <c r="J100">
        <v>26</v>
      </c>
      <c r="K100" t="s">
        <v>1113</v>
      </c>
    </row>
    <row r="101" spans="1:11" x14ac:dyDescent="0.3">
      <c r="A101" t="s">
        <v>53</v>
      </c>
      <c r="B101">
        <v>49</v>
      </c>
      <c r="C101" t="s">
        <v>61</v>
      </c>
      <c r="D101" t="s">
        <v>41</v>
      </c>
      <c r="E101" t="s">
        <v>290</v>
      </c>
      <c r="F101">
        <v>14</v>
      </c>
      <c r="G101" t="s">
        <v>53</v>
      </c>
      <c r="H101">
        <v>1</v>
      </c>
      <c r="I101">
        <v>1</v>
      </c>
      <c r="J101">
        <v>45</v>
      </c>
      <c r="K101" t="s">
        <v>1112</v>
      </c>
    </row>
    <row r="102" spans="1:11" x14ac:dyDescent="0.3">
      <c r="A102" t="s">
        <v>53</v>
      </c>
      <c r="B102">
        <v>38</v>
      </c>
      <c r="C102" t="s">
        <v>30</v>
      </c>
      <c r="D102" t="s">
        <v>41</v>
      </c>
      <c r="E102" t="s">
        <v>329</v>
      </c>
      <c r="F102">
        <v>26</v>
      </c>
      <c r="G102" t="s">
        <v>53</v>
      </c>
      <c r="H102">
        <v>1</v>
      </c>
      <c r="I102">
        <v>1</v>
      </c>
      <c r="J102">
        <v>32</v>
      </c>
      <c r="K102" t="s">
        <v>1113</v>
      </c>
    </row>
    <row r="103" spans="1:11" x14ac:dyDescent="0.3">
      <c r="A103" t="s">
        <v>29</v>
      </c>
      <c r="B103">
        <v>30</v>
      </c>
      <c r="C103" t="s">
        <v>40</v>
      </c>
      <c r="D103" t="s">
        <v>41</v>
      </c>
      <c r="E103" t="s">
        <v>294</v>
      </c>
      <c r="F103">
        <v>32</v>
      </c>
      <c r="G103" t="s">
        <v>29</v>
      </c>
      <c r="H103">
        <v>0</v>
      </c>
      <c r="I103">
        <v>1</v>
      </c>
      <c r="J103">
        <v>40</v>
      </c>
      <c r="K103" t="s">
        <v>1113</v>
      </c>
    </row>
    <row r="104" spans="1:11" x14ac:dyDescent="0.3">
      <c r="A104" t="s">
        <v>29</v>
      </c>
      <c r="B104">
        <v>10</v>
      </c>
      <c r="C104" t="s">
        <v>30</v>
      </c>
      <c r="D104" t="s">
        <v>41</v>
      </c>
      <c r="E104" t="s">
        <v>317</v>
      </c>
      <c r="F104">
        <v>6</v>
      </c>
      <c r="G104" t="s">
        <v>29</v>
      </c>
      <c r="H104">
        <v>0</v>
      </c>
      <c r="I104">
        <v>1</v>
      </c>
      <c r="J104">
        <v>24</v>
      </c>
      <c r="K104" t="s">
        <v>1114</v>
      </c>
    </row>
    <row r="105" spans="1:11" x14ac:dyDescent="0.3">
      <c r="A105" t="s">
        <v>53</v>
      </c>
      <c r="B105">
        <v>13</v>
      </c>
      <c r="C105" t="s">
        <v>40</v>
      </c>
      <c r="D105" t="s">
        <v>41</v>
      </c>
      <c r="E105" t="s">
        <v>298</v>
      </c>
      <c r="F105">
        <v>3</v>
      </c>
      <c r="G105" t="s">
        <v>53</v>
      </c>
      <c r="H105">
        <v>1</v>
      </c>
      <c r="I105">
        <v>1</v>
      </c>
      <c r="J105">
        <v>42</v>
      </c>
      <c r="K105" t="s">
        <v>1111</v>
      </c>
    </row>
    <row r="106" spans="1:11" x14ac:dyDescent="0.3">
      <c r="A106" t="s">
        <v>29</v>
      </c>
      <c r="B106">
        <v>38</v>
      </c>
      <c r="C106" t="s">
        <v>40</v>
      </c>
      <c r="D106" t="s">
        <v>41</v>
      </c>
      <c r="E106" t="s">
        <v>313</v>
      </c>
      <c r="F106">
        <v>14</v>
      </c>
      <c r="G106" t="s">
        <v>29</v>
      </c>
      <c r="H106">
        <v>0</v>
      </c>
      <c r="I106">
        <v>1</v>
      </c>
      <c r="J106">
        <v>31</v>
      </c>
      <c r="K106" t="s">
        <v>1112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3CDF-912D-4C9F-A5D0-14552DA484D7}">
  <dimension ref="A2:L64"/>
  <sheetViews>
    <sheetView showGridLines="0" workbookViewId="0">
      <selection activeCell="M21" sqref="M21"/>
    </sheetView>
  </sheetViews>
  <sheetFormatPr defaultRowHeight="14.4" x14ac:dyDescent="0.3"/>
  <cols>
    <col min="1" max="1" width="12.5546875" bestFit="1" customWidth="1"/>
    <col min="2" max="2" width="13.77734375" bestFit="1" customWidth="1"/>
    <col min="3" max="3" width="21.33203125" bestFit="1" customWidth="1"/>
    <col min="4" max="4" width="24.21875" bestFit="1" customWidth="1"/>
    <col min="7" max="7" width="12.5546875" bestFit="1" customWidth="1"/>
    <col min="8" max="8" width="23.5546875" bestFit="1" customWidth="1"/>
    <col min="9" max="9" width="21.33203125" bestFit="1" customWidth="1"/>
    <col min="10" max="10" width="24.88671875" bestFit="1" customWidth="1"/>
    <col min="11" max="11" width="10.5546875" bestFit="1" customWidth="1"/>
  </cols>
  <sheetData>
    <row r="2" spans="1:12" ht="15.6" x14ac:dyDescent="0.3">
      <c r="A2" s="10" t="s">
        <v>1140</v>
      </c>
      <c r="B2" s="10"/>
      <c r="C2" s="10"/>
      <c r="G2" s="10" t="s">
        <v>1144</v>
      </c>
      <c r="H2" s="10"/>
      <c r="I2" s="10"/>
    </row>
    <row r="3" spans="1:12" x14ac:dyDescent="0.3">
      <c r="A3" s="3" t="s">
        <v>1102</v>
      </c>
      <c r="B3" t="s">
        <v>1105</v>
      </c>
      <c r="G3" s="3" t="s">
        <v>1102</v>
      </c>
      <c r="H3" t="s">
        <v>1104</v>
      </c>
      <c r="I3" t="s">
        <v>1106</v>
      </c>
      <c r="J3" t="s">
        <v>1131</v>
      </c>
    </row>
    <row r="4" spans="1:12" x14ac:dyDescent="0.3">
      <c r="A4" s="4" t="s">
        <v>58</v>
      </c>
      <c r="B4" s="11">
        <v>119</v>
      </c>
      <c r="C4" s="4" t="s">
        <v>58</v>
      </c>
      <c r="D4">
        <v>119</v>
      </c>
      <c r="G4" s="4" t="s">
        <v>1111</v>
      </c>
      <c r="H4" s="11">
        <v>79</v>
      </c>
      <c r="I4" s="11">
        <v>24</v>
      </c>
      <c r="J4" s="5">
        <v>0.30379746835443039</v>
      </c>
      <c r="K4" s="4" t="s">
        <v>1111</v>
      </c>
      <c r="L4" s="5">
        <v>0.30379746835443039</v>
      </c>
    </row>
    <row r="5" spans="1:12" x14ac:dyDescent="0.3">
      <c r="A5" s="4" t="s">
        <v>25</v>
      </c>
      <c r="B5" s="11">
        <v>102</v>
      </c>
      <c r="C5" s="4" t="s">
        <v>25</v>
      </c>
      <c r="D5">
        <v>102</v>
      </c>
      <c r="G5" s="4" t="s">
        <v>1112</v>
      </c>
      <c r="H5" s="11">
        <v>137</v>
      </c>
      <c r="I5" s="11">
        <v>60</v>
      </c>
      <c r="J5" s="5">
        <v>0.43795620437956206</v>
      </c>
      <c r="K5" s="4" t="s">
        <v>1112</v>
      </c>
      <c r="L5" s="5">
        <v>0.43795620437956206</v>
      </c>
    </row>
    <row r="6" spans="1:12" x14ac:dyDescent="0.3">
      <c r="A6" s="4" t="s">
        <v>38</v>
      </c>
      <c r="B6" s="11">
        <v>93</v>
      </c>
      <c r="C6" s="4" t="s">
        <v>38</v>
      </c>
      <c r="D6">
        <v>93</v>
      </c>
      <c r="G6" s="4" t="s">
        <v>1113</v>
      </c>
      <c r="H6" s="11">
        <v>205</v>
      </c>
      <c r="I6" s="11">
        <v>61</v>
      </c>
      <c r="J6" s="5">
        <v>0.29756097560975608</v>
      </c>
      <c r="K6" s="4" t="s">
        <v>1113</v>
      </c>
      <c r="L6" s="5">
        <v>0.29756097560975608</v>
      </c>
    </row>
    <row r="7" spans="1:12" x14ac:dyDescent="0.3">
      <c r="A7" s="4" t="s">
        <v>45</v>
      </c>
      <c r="B7" s="11">
        <v>96</v>
      </c>
      <c r="C7" s="4" t="s">
        <v>45</v>
      </c>
      <c r="D7">
        <v>96</v>
      </c>
      <c r="G7" s="4" t="s">
        <v>1114</v>
      </c>
      <c r="H7" s="11">
        <v>79</v>
      </c>
      <c r="I7" s="11">
        <v>21</v>
      </c>
      <c r="J7" s="5">
        <v>0.26582278481012656</v>
      </c>
      <c r="K7" s="4" t="s">
        <v>1114</v>
      </c>
      <c r="L7" s="5">
        <v>0.26582278481012656</v>
      </c>
    </row>
    <row r="8" spans="1:12" x14ac:dyDescent="0.3">
      <c r="A8" s="4" t="s">
        <v>76</v>
      </c>
      <c r="B8" s="11">
        <v>90</v>
      </c>
      <c r="C8" s="4" t="s">
        <v>76</v>
      </c>
      <c r="D8">
        <v>90</v>
      </c>
      <c r="G8" s="4" t="s">
        <v>1103</v>
      </c>
      <c r="H8" s="11">
        <v>500</v>
      </c>
      <c r="I8" s="11">
        <v>166</v>
      </c>
      <c r="J8" s="5">
        <v>0.33200000000000002</v>
      </c>
    </row>
    <row r="9" spans="1:12" x14ac:dyDescent="0.3">
      <c r="A9" s="4" t="s">
        <v>1103</v>
      </c>
      <c r="B9" s="11">
        <v>500</v>
      </c>
    </row>
    <row r="10" spans="1:12" ht="15.6" x14ac:dyDescent="0.3">
      <c r="A10" s="10" t="s">
        <v>1141</v>
      </c>
      <c r="B10" s="10"/>
      <c r="C10" s="10"/>
      <c r="G10" s="10" t="s">
        <v>1145</v>
      </c>
      <c r="H10" s="10"/>
      <c r="I10" s="10"/>
    </row>
    <row r="11" spans="1:12" x14ac:dyDescent="0.3">
      <c r="A11" s="3" t="s">
        <v>1102</v>
      </c>
      <c r="B11" t="s">
        <v>1107</v>
      </c>
      <c r="C11" t="s">
        <v>52</v>
      </c>
      <c r="D11" t="s">
        <v>1108</v>
      </c>
      <c r="G11" s="3" t="s">
        <v>1102</v>
      </c>
      <c r="H11" t="s">
        <v>1106</v>
      </c>
      <c r="I11" t="s">
        <v>1104</v>
      </c>
      <c r="J11" t="s">
        <v>1128</v>
      </c>
    </row>
    <row r="12" spans="1:12" x14ac:dyDescent="0.3">
      <c r="A12" s="4" t="s">
        <v>76</v>
      </c>
      <c r="B12" s="11">
        <v>90</v>
      </c>
      <c r="C12" s="11">
        <v>31</v>
      </c>
      <c r="D12" s="5">
        <v>0.34444444444444444</v>
      </c>
      <c r="G12" s="4" t="s">
        <v>51</v>
      </c>
      <c r="H12" s="11">
        <v>52</v>
      </c>
      <c r="I12" s="11">
        <v>156</v>
      </c>
      <c r="J12" s="5">
        <v>0.33333333333333331</v>
      </c>
      <c r="K12" s="4" t="s">
        <v>51</v>
      </c>
      <c r="L12" s="5">
        <v>0.33333333333333331</v>
      </c>
    </row>
    <row r="13" spans="1:12" x14ac:dyDescent="0.3">
      <c r="A13" s="4" t="s">
        <v>45</v>
      </c>
      <c r="B13" s="11">
        <v>96</v>
      </c>
      <c r="C13" s="11">
        <v>37</v>
      </c>
      <c r="D13" s="5">
        <v>0.38541666666666669</v>
      </c>
      <c r="G13" s="4" t="s">
        <v>27</v>
      </c>
      <c r="H13" s="11">
        <v>60</v>
      </c>
      <c r="I13" s="11">
        <v>172</v>
      </c>
      <c r="J13" s="5">
        <v>0.34883720930232559</v>
      </c>
      <c r="K13" s="4" t="s">
        <v>27</v>
      </c>
      <c r="L13" s="5">
        <v>0.34883720930232559</v>
      </c>
    </row>
    <row r="14" spans="1:12" x14ac:dyDescent="0.3">
      <c r="A14" s="4" t="s">
        <v>38</v>
      </c>
      <c r="B14" s="11">
        <v>93</v>
      </c>
      <c r="C14" s="11">
        <v>27</v>
      </c>
      <c r="D14" s="5">
        <v>0.29032258064516131</v>
      </c>
      <c r="G14" s="4" t="s">
        <v>46</v>
      </c>
      <c r="H14" s="11">
        <v>54</v>
      </c>
      <c r="I14" s="11">
        <v>172</v>
      </c>
      <c r="J14" s="5">
        <v>0.31395348837209303</v>
      </c>
      <c r="K14" s="4" t="s">
        <v>46</v>
      </c>
      <c r="L14" s="5">
        <v>0.31395348837209303</v>
      </c>
    </row>
    <row r="15" spans="1:12" x14ac:dyDescent="0.3">
      <c r="A15" s="4" t="s">
        <v>25</v>
      </c>
      <c r="B15" s="11">
        <v>102</v>
      </c>
      <c r="C15" s="11">
        <v>28</v>
      </c>
      <c r="D15" s="5">
        <v>0.27450980392156865</v>
      </c>
      <c r="G15" s="4" t="s">
        <v>1103</v>
      </c>
      <c r="H15" s="11">
        <v>166</v>
      </c>
      <c r="I15" s="11">
        <v>500</v>
      </c>
      <c r="J15" s="5">
        <v>0.33200000000000002</v>
      </c>
    </row>
    <row r="16" spans="1:12" x14ac:dyDescent="0.3">
      <c r="A16" s="4" t="s">
        <v>58</v>
      </c>
      <c r="B16" s="11">
        <v>119</v>
      </c>
      <c r="C16" s="11">
        <v>43</v>
      </c>
      <c r="D16" s="5">
        <v>0.36134453781512604</v>
      </c>
    </row>
    <row r="17" spans="1:12" x14ac:dyDescent="0.3">
      <c r="A17" s="4" t="s">
        <v>1103</v>
      </c>
      <c r="B17" s="11">
        <v>500</v>
      </c>
      <c r="C17" s="11">
        <v>166</v>
      </c>
      <c r="D17" s="5">
        <v>0.33200000000000002</v>
      </c>
    </row>
    <row r="18" spans="1:12" ht="15.6" x14ac:dyDescent="0.3">
      <c r="A18" s="10" t="s">
        <v>1142</v>
      </c>
      <c r="B18" s="10"/>
      <c r="C18" s="10"/>
      <c r="G18" s="10" t="s">
        <v>1146</v>
      </c>
      <c r="H18" s="10"/>
      <c r="J18" s="10" t="s">
        <v>1147</v>
      </c>
      <c r="K18" s="10"/>
      <c r="L18" s="10"/>
    </row>
    <row r="19" spans="1:12" x14ac:dyDescent="0.3">
      <c r="A19" s="3" t="s">
        <v>1102</v>
      </c>
      <c r="B19" t="s">
        <v>1109</v>
      </c>
      <c r="G19" s="3" t="s">
        <v>1102</v>
      </c>
      <c r="H19" t="s">
        <v>1117</v>
      </c>
    </row>
    <row r="20" spans="1:12" x14ac:dyDescent="0.3">
      <c r="A20" s="4" t="s">
        <v>31</v>
      </c>
      <c r="B20" s="11">
        <v>96</v>
      </c>
      <c r="G20" s="4" t="s">
        <v>31</v>
      </c>
      <c r="H20" s="11">
        <v>33.28125</v>
      </c>
      <c r="J20" s="3" t="s">
        <v>6</v>
      </c>
      <c r="K20" t="s">
        <v>1120</v>
      </c>
    </row>
    <row r="21" spans="1:12" x14ac:dyDescent="0.3">
      <c r="A21" s="4" t="s">
        <v>72</v>
      </c>
      <c r="B21" s="11">
        <v>102</v>
      </c>
      <c r="G21" s="4" t="s">
        <v>72</v>
      </c>
      <c r="H21" s="11">
        <v>30.676470588235293</v>
      </c>
      <c r="J21" s="3" t="s">
        <v>17</v>
      </c>
      <c r="K21" t="s">
        <v>1120</v>
      </c>
    </row>
    <row r="22" spans="1:12" x14ac:dyDescent="0.3">
      <c r="A22" s="4" t="s">
        <v>41</v>
      </c>
      <c r="B22" s="11">
        <v>103</v>
      </c>
      <c r="G22" s="4" t="s">
        <v>41</v>
      </c>
      <c r="H22" s="11">
        <v>30.95145631067961</v>
      </c>
    </row>
    <row r="23" spans="1:12" x14ac:dyDescent="0.3">
      <c r="A23" s="4" t="s">
        <v>62</v>
      </c>
      <c r="B23" s="11">
        <v>106</v>
      </c>
      <c r="G23" s="4" t="s">
        <v>62</v>
      </c>
      <c r="H23" s="11">
        <v>31.141509433962263</v>
      </c>
      <c r="J23" s="3" t="s">
        <v>1102</v>
      </c>
      <c r="K23" t="s">
        <v>1118</v>
      </c>
    </row>
    <row r="24" spans="1:12" x14ac:dyDescent="0.3">
      <c r="A24" s="4" t="s">
        <v>104</v>
      </c>
      <c r="B24" s="11">
        <v>93</v>
      </c>
      <c r="G24" s="4" t="s">
        <v>104</v>
      </c>
      <c r="H24" s="11">
        <v>29.698924731182796</v>
      </c>
      <c r="J24" s="4" t="s">
        <v>34</v>
      </c>
      <c r="K24" s="11">
        <v>12</v>
      </c>
    </row>
    <row r="25" spans="1:12" x14ac:dyDescent="0.3">
      <c r="A25" s="4" t="s">
        <v>1103</v>
      </c>
      <c r="B25" s="11">
        <v>500</v>
      </c>
      <c r="G25" s="4" t="s">
        <v>1103</v>
      </c>
      <c r="H25" s="11">
        <v>31.15</v>
      </c>
      <c r="J25" s="4" t="s">
        <v>214</v>
      </c>
      <c r="K25" s="11">
        <v>11</v>
      </c>
    </row>
    <row r="26" spans="1:12" ht="15.6" x14ac:dyDescent="0.3">
      <c r="A26" s="10" t="s">
        <v>1143</v>
      </c>
      <c r="B26" s="10"/>
      <c r="C26" s="10"/>
      <c r="J26" s="4" t="s">
        <v>115</v>
      </c>
      <c r="K26" s="11">
        <v>18</v>
      </c>
    </row>
    <row r="27" spans="1:12" x14ac:dyDescent="0.3">
      <c r="A27" s="3" t="s">
        <v>1102</v>
      </c>
      <c r="B27" t="s">
        <v>1106</v>
      </c>
      <c r="C27" t="s">
        <v>1104</v>
      </c>
      <c r="D27" t="s">
        <v>1110</v>
      </c>
      <c r="J27" s="4" t="s">
        <v>188</v>
      </c>
      <c r="K27" s="11">
        <v>10</v>
      </c>
    </row>
    <row r="28" spans="1:12" x14ac:dyDescent="0.3">
      <c r="A28" s="4" t="s">
        <v>31</v>
      </c>
      <c r="B28" s="11">
        <v>40</v>
      </c>
      <c r="C28" s="11">
        <v>96</v>
      </c>
      <c r="D28" s="5">
        <v>0.41666666666666669</v>
      </c>
      <c r="J28" s="4" t="s">
        <v>133</v>
      </c>
      <c r="K28" s="11">
        <v>8</v>
      </c>
    </row>
    <row r="29" spans="1:12" x14ac:dyDescent="0.3">
      <c r="A29" s="4" t="s">
        <v>72</v>
      </c>
      <c r="B29" s="11">
        <v>38</v>
      </c>
      <c r="C29" s="11">
        <v>102</v>
      </c>
      <c r="D29" s="5">
        <v>0.37254901960784315</v>
      </c>
      <c r="J29" s="4" t="s">
        <v>124</v>
      </c>
      <c r="K29" s="11">
        <v>15</v>
      </c>
    </row>
    <row r="30" spans="1:12" x14ac:dyDescent="0.3">
      <c r="A30" s="4" t="s">
        <v>41</v>
      </c>
      <c r="B30" s="11">
        <v>27</v>
      </c>
      <c r="C30" s="11">
        <v>103</v>
      </c>
      <c r="D30" s="5">
        <v>0.26213592233009708</v>
      </c>
      <c r="J30" s="4" t="s">
        <v>229</v>
      </c>
      <c r="K30" s="11">
        <v>12</v>
      </c>
    </row>
    <row r="31" spans="1:12" x14ac:dyDescent="0.3">
      <c r="A31" s="4" t="s">
        <v>62</v>
      </c>
      <c r="B31" s="11">
        <v>36</v>
      </c>
      <c r="C31" s="11">
        <v>106</v>
      </c>
      <c r="D31" s="5">
        <v>0.33962264150943394</v>
      </c>
      <c r="J31" s="4" t="s">
        <v>107</v>
      </c>
      <c r="K31" s="11">
        <v>13</v>
      </c>
    </row>
    <row r="32" spans="1:12" x14ac:dyDescent="0.3">
      <c r="A32" s="4" t="s">
        <v>104</v>
      </c>
      <c r="B32" s="11">
        <v>25</v>
      </c>
      <c r="C32" s="11">
        <v>93</v>
      </c>
      <c r="D32" s="5">
        <v>0.26881720430107525</v>
      </c>
      <c r="J32" s="4" t="s">
        <v>179</v>
      </c>
      <c r="K32" s="11">
        <v>19</v>
      </c>
    </row>
    <row r="33" spans="1:11" x14ac:dyDescent="0.3">
      <c r="A33" s="4" t="s">
        <v>1103</v>
      </c>
      <c r="B33" s="11">
        <v>166</v>
      </c>
      <c r="C33" s="11">
        <v>500</v>
      </c>
      <c r="D33" s="5">
        <v>0.33200000000000002</v>
      </c>
      <c r="J33" s="4" t="s">
        <v>94</v>
      </c>
      <c r="K33" s="11">
        <v>12</v>
      </c>
    </row>
    <row r="34" spans="1:11" x14ac:dyDescent="0.3">
      <c r="J34" s="4" t="s">
        <v>89</v>
      </c>
      <c r="K34" s="11">
        <v>17</v>
      </c>
    </row>
    <row r="35" spans="1:11" x14ac:dyDescent="0.3">
      <c r="A35" s="4" t="s">
        <v>31</v>
      </c>
      <c r="B35" s="5">
        <v>0.41666666666666669</v>
      </c>
      <c r="J35" s="4" t="s">
        <v>110</v>
      </c>
      <c r="K35" s="11">
        <v>22</v>
      </c>
    </row>
    <row r="36" spans="1:11" x14ac:dyDescent="0.3">
      <c r="A36" s="4" t="s">
        <v>72</v>
      </c>
      <c r="B36" s="5">
        <v>0.37254901960784315</v>
      </c>
      <c r="J36" s="4" t="s">
        <v>75</v>
      </c>
      <c r="K36" s="11">
        <v>8</v>
      </c>
    </row>
    <row r="37" spans="1:11" x14ac:dyDescent="0.3">
      <c r="A37" s="4" t="s">
        <v>41</v>
      </c>
      <c r="B37" s="5">
        <v>0.26213592233009708</v>
      </c>
      <c r="J37" s="4" t="s">
        <v>281</v>
      </c>
      <c r="K37" s="11">
        <v>9</v>
      </c>
    </row>
    <row r="38" spans="1:11" x14ac:dyDescent="0.3">
      <c r="A38" s="4" t="s">
        <v>62</v>
      </c>
      <c r="B38" s="5">
        <v>0.33962264150943394</v>
      </c>
      <c r="J38" s="4" t="s">
        <v>118</v>
      </c>
      <c r="K38" s="11">
        <v>18</v>
      </c>
    </row>
    <row r="39" spans="1:11" x14ac:dyDescent="0.3">
      <c r="A39" s="4" t="s">
        <v>104</v>
      </c>
      <c r="B39" s="5">
        <v>0.26881720430107525</v>
      </c>
      <c r="J39" s="4" t="s">
        <v>417</v>
      </c>
      <c r="K39" s="11">
        <v>5</v>
      </c>
    </row>
    <row r="40" spans="1:11" x14ac:dyDescent="0.3">
      <c r="J40" s="4" t="s">
        <v>238</v>
      </c>
      <c r="K40" s="11">
        <v>11</v>
      </c>
    </row>
    <row r="41" spans="1:11" x14ac:dyDescent="0.3">
      <c r="J41" s="4" t="s">
        <v>140</v>
      </c>
      <c r="K41" s="11">
        <v>15</v>
      </c>
    </row>
    <row r="42" spans="1:11" x14ac:dyDescent="0.3">
      <c r="J42" s="4" t="s">
        <v>103</v>
      </c>
      <c r="K42" s="11">
        <v>14</v>
      </c>
    </row>
    <row r="43" spans="1:11" x14ac:dyDescent="0.3">
      <c r="J43" s="4" t="s">
        <v>182</v>
      </c>
      <c r="K43" s="11">
        <v>10</v>
      </c>
    </row>
    <row r="44" spans="1:11" x14ac:dyDescent="0.3">
      <c r="J44" s="4" t="s">
        <v>308</v>
      </c>
      <c r="K44" s="11">
        <v>12</v>
      </c>
    </row>
    <row r="45" spans="1:11" x14ac:dyDescent="0.3">
      <c r="J45" s="4" t="s">
        <v>167</v>
      </c>
      <c r="K45" s="11">
        <v>15</v>
      </c>
    </row>
    <row r="46" spans="1:11" x14ac:dyDescent="0.3">
      <c r="J46" s="4" t="s">
        <v>99</v>
      </c>
      <c r="K46" s="11">
        <v>12</v>
      </c>
    </row>
    <row r="47" spans="1:11" x14ac:dyDescent="0.3">
      <c r="J47" s="4" t="s">
        <v>44</v>
      </c>
      <c r="K47" s="11">
        <v>12</v>
      </c>
    </row>
    <row r="48" spans="1:11" x14ac:dyDescent="0.3">
      <c r="J48" s="4" t="s">
        <v>185</v>
      </c>
      <c r="K48" s="11">
        <v>12</v>
      </c>
    </row>
    <row r="49" spans="10:11" x14ac:dyDescent="0.3">
      <c r="J49" s="4" t="s">
        <v>56</v>
      </c>
      <c r="K49" s="11">
        <v>14</v>
      </c>
    </row>
    <row r="50" spans="10:11" x14ac:dyDescent="0.3">
      <c r="J50" s="4" t="s">
        <v>71</v>
      </c>
      <c r="K50" s="11">
        <v>11</v>
      </c>
    </row>
    <row r="51" spans="10:11" x14ac:dyDescent="0.3">
      <c r="J51" s="4" t="s">
        <v>156</v>
      </c>
      <c r="K51" s="11">
        <v>9</v>
      </c>
    </row>
    <row r="52" spans="10:11" x14ac:dyDescent="0.3">
      <c r="J52" s="4" t="s">
        <v>145</v>
      </c>
      <c r="K52" s="11">
        <v>11</v>
      </c>
    </row>
    <row r="53" spans="10:11" x14ac:dyDescent="0.3">
      <c r="J53" s="4" t="s">
        <v>86</v>
      </c>
      <c r="K53" s="11">
        <v>12</v>
      </c>
    </row>
    <row r="54" spans="10:11" x14ac:dyDescent="0.3">
      <c r="J54" s="4" t="s">
        <v>49</v>
      </c>
      <c r="K54" s="11">
        <v>9</v>
      </c>
    </row>
    <row r="55" spans="10:11" x14ac:dyDescent="0.3">
      <c r="J55" s="4" t="s">
        <v>197</v>
      </c>
      <c r="K55" s="11">
        <v>8</v>
      </c>
    </row>
    <row r="56" spans="10:11" x14ac:dyDescent="0.3">
      <c r="J56" s="4" t="s">
        <v>82</v>
      </c>
      <c r="K56" s="11">
        <v>14</v>
      </c>
    </row>
    <row r="57" spans="10:11" x14ac:dyDescent="0.3">
      <c r="J57" s="4" t="s">
        <v>65</v>
      </c>
      <c r="K57" s="11">
        <v>14</v>
      </c>
    </row>
    <row r="58" spans="10:11" x14ac:dyDescent="0.3">
      <c r="J58" s="4" t="s">
        <v>191</v>
      </c>
      <c r="K58" s="11">
        <v>16</v>
      </c>
    </row>
    <row r="59" spans="10:11" x14ac:dyDescent="0.3">
      <c r="J59" s="4" t="s">
        <v>176</v>
      </c>
      <c r="K59" s="11">
        <v>11</v>
      </c>
    </row>
    <row r="60" spans="10:11" x14ac:dyDescent="0.3">
      <c r="J60" s="4" t="s">
        <v>194</v>
      </c>
      <c r="K60" s="11">
        <v>11</v>
      </c>
    </row>
    <row r="61" spans="10:11" x14ac:dyDescent="0.3">
      <c r="J61" s="4" t="s">
        <v>121</v>
      </c>
      <c r="K61" s="11">
        <v>7</v>
      </c>
    </row>
    <row r="62" spans="10:11" x14ac:dyDescent="0.3">
      <c r="J62" s="4" t="s">
        <v>21</v>
      </c>
      <c r="K62" s="11">
        <v>15</v>
      </c>
    </row>
    <row r="63" spans="10:11" x14ac:dyDescent="0.3">
      <c r="J63" s="4" t="s">
        <v>79</v>
      </c>
      <c r="K63" s="11">
        <v>16</v>
      </c>
    </row>
    <row r="64" spans="10:11" x14ac:dyDescent="0.3">
      <c r="J64" s="4" t="s">
        <v>1103</v>
      </c>
      <c r="K64" s="11">
        <v>500</v>
      </c>
    </row>
  </sheetData>
  <mergeCells count="8">
    <mergeCell ref="J18:L18"/>
    <mergeCell ref="A10:C10"/>
    <mergeCell ref="A18:C18"/>
    <mergeCell ref="A26:C26"/>
    <mergeCell ref="G2:I2"/>
    <mergeCell ref="G10:I10"/>
    <mergeCell ref="G18:H18"/>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9FB0-E6AD-4137-A2A2-2F45E5A4D76A}">
  <sheetPr>
    <pageSetUpPr fitToPage="1"/>
  </sheetPr>
  <dimension ref="B1:AF73"/>
  <sheetViews>
    <sheetView showGridLines="0" tabSelected="1" zoomScale="90" zoomScaleNormal="90" workbookViewId="0">
      <selection activeCell="P77" sqref="P77"/>
    </sheetView>
  </sheetViews>
  <sheetFormatPr defaultRowHeight="14.4" x14ac:dyDescent="0.3"/>
  <cols>
    <col min="1" max="30" width="8.88671875" style="7"/>
    <col min="31" max="31" width="21.5546875" style="7" bestFit="1" customWidth="1"/>
    <col min="32" max="32" width="53.109375" style="7" customWidth="1"/>
    <col min="33" max="16384" width="8.88671875" style="7"/>
  </cols>
  <sheetData>
    <row r="1" spans="5:23" ht="50.4" x14ac:dyDescent="0.95">
      <c r="G1" s="15" t="s">
        <v>1119</v>
      </c>
      <c r="H1" s="15"/>
      <c r="I1" s="15"/>
      <c r="J1" s="15"/>
      <c r="K1" s="15"/>
      <c r="L1" s="15"/>
      <c r="M1" s="15"/>
      <c r="N1" s="15"/>
      <c r="O1" s="15"/>
      <c r="P1" s="15"/>
      <c r="Q1" s="15"/>
      <c r="R1" s="15"/>
      <c r="S1" s="15"/>
    </row>
    <row r="2" spans="5:23" ht="16.2" x14ac:dyDescent="0.3">
      <c r="G2" s="16" t="s">
        <v>1135</v>
      </c>
      <c r="H2" s="16"/>
      <c r="I2" s="16"/>
      <c r="J2" s="16"/>
      <c r="K2" s="16"/>
      <c r="L2" s="16"/>
      <c r="M2" s="16"/>
      <c r="N2" s="16"/>
      <c r="O2" s="16"/>
      <c r="P2" s="16"/>
      <c r="Q2" s="16"/>
      <c r="R2" s="16"/>
      <c r="S2" s="16"/>
    </row>
    <row r="16" spans="5:23" ht="28.2" x14ac:dyDescent="0.3">
      <c r="E16" s="12" t="s">
        <v>1132</v>
      </c>
      <c r="F16" s="12"/>
      <c r="G16" s="12"/>
      <c r="H16" s="12"/>
      <c r="I16" s="12"/>
      <c r="J16" s="12"/>
      <c r="K16" s="12"/>
      <c r="L16" s="12"/>
      <c r="M16" s="12"/>
      <c r="N16" s="12" t="s">
        <v>1133</v>
      </c>
      <c r="O16" s="12"/>
      <c r="P16" s="12"/>
      <c r="Q16" s="12"/>
      <c r="R16" s="12"/>
      <c r="S16" s="12"/>
      <c r="T16" s="12"/>
      <c r="U16" s="12"/>
      <c r="V16" s="12"/>
      <c r="W16" s="12"/>
    </row>
    <row r="22" spans="10:10" x14ac:dyDescent="0.3">
      <c r="J22" s="8"/>
    </row>
    <row r="35" spans="2:32" x14ac:dyDescent="0.3">
      <c r="AE35" s="7" t="s">
        <v>1122</v>
      </c>
      <c r="AF35" s="7">
        <f>MAX(Pivots!D4:D8)</f>
        <v>119</v>
      </c>
    </row>
    <row r="36" spans="2:32" x14ac:dyDescent="0.3">
      <c r="AE36" s="7" t="s">
        <v>1123</v>
      </c>
      <c r="AF36" s="7" t="str">
        <f>INDEX(Pivots!C4:C8, MATCH(AF35, Pivots!D4:D8, 0))</f>
        <v>Inclusive Education</v>
      </c>
    </row>
    <row r="37" spans="2:32" x14ac:dyDescent="0.3">
      <c r="AE37" s="7" t="s">
        <v>1127</v>
      </c>
      <c r="AF37" s="9">
        <f>MAX(Pivots!B35:B39)</f>
        <v>0.41666666666666669</v>
      </c>
    </row>
    <row r="38" spans="2:32" x14ac:dyDescent="0.3">
      <c r="AE38" s="7" t="s">
        <v>1125</v>
      </c>
      <c r="AF38" s="7" t="str">
        <f>INDEX(Pivots!A35:A39, MATCH(Dashboard!AF37, Pivots!B35:B39, 0))</f>
        <v>Delhi</v>
      </c>
    </row>
    <row r="39" spans="2:32" ht="28.2" x14ac:dyDescent="0.3">
      <c r="B39" s="13" t="s">
        <v>1134</v>
      </c>
      <c r="C39" s="13"/>
      <c r="D39" s="13"/>
      <c r="E39" s="13"/>
      <c r="F39" s="13"/>
      <c r="G39" s="13"/>
      <c r="H39" s="13"/>
      <c r="I39" s="13"/>
      <c r="J39" s="13"/>
      <c r="K39" s="13"/>
      <c r="L39" s="13"/>
      <c r="M39" s="13"/>
      <c r="O39" s="13" t="s">
        <v>1116</v>
      </c>
      <c r="P39" s="13"/>
      <c r="Q39" s="13"/>
      <c r="R39" s="13"/>
      <c r="S39" s="13"/>
      <c r="T39" s="13"/>
      <c r="U39" s="13"/>
      <c r="V39" s="13"/>
      <c r="W39" s="13"/>
      <c r="X39" s="13"/>
      <c r="Y39" s="13"/>
      <c r="Z39" s="13"/>
      <c r="AE39" s="7" t="s">
        <v>1126</v>
      </c>
      <c r="AF39" s="8">
        <f>MAX(Pivots!L11:L13)</f>
        <v>0.34883720930232559</v>
      </c>
    </row>
    <row r="40" spans="2:32" x14ac:dyDescent="0.3">
      <c r="AE40" s="7" t="s">
        <v>1124</v>
      </c>
      <c r="AF40" s="7" t="str">
        <f>INDEX(Pivots!K12:K14, MATCH(AF39, Pivots!L12:L14, 0))</f>
        <v>Offline</v>
      </c>
    </row>
    <row r="41" spans="2:32" x14ac:dyDescent="0.3">
      <c r="AE41" s="7" t="s">
        <v>1129</v>
      </c>
      <c r="AF41" s="9">
        <f>MAX(Pivots!L4:L8)</f>
        <v>0.43795620437956206</v>
      </c>
    </row>
    <row r="42" spans="2:32" x14ac:dyDescent="0.3">
      <c r="AF42" s="7" t="str">
        <f>INDEX(Pivots!K4:K10, MATCH(AF41, Pivots!L4:L8, 0))</f>
        <v>11-20 Years</v>
      </c>
    </row>
    <row r="44" spans="2:32" x14ac:dyDescent="0.3">
      <c r="AF44" s="7" t="str">
        <f>"• "&amp;AF36&amp;" is the most enrolled course with "&amp;AF35&amp;" teachers."</f>
        <v>• Inclusive Education is the most enrolled course with 119 teachers.</v>
      </c>
    </row>
    <row r="45" spans="2:32" x14ac:dyDescent="0.3">
      <c r="AF45" s="7" t="str">
        <f>"• "&amp;AF38&amp;" shows the highest completion rate ("&amp;TEXT(AF37,"0%")&amp;")."</f>
        <v>• Delhi shows the highest completion rate (42%).</v>
      </c>
    </row>
    <row r="46" spans="2:32" x14ac:dyDescent="0.3">
      <c r="AF46" s="7" t="str">
        <f>"• "&amp;AF40&amp;" Mode shows the highest completion rate ("&amp;TEXT(AF39,"0%")&amp;")."</f>
        <v>• Offline Mode shows the highest completion rate (35%).</v>
      </c>
    </row>
    <row r="47" spans="2:32" x14ac:dyDescent="0.3">
      <c r="AF47" s="7" t="str">
        <f>"• "&amp;AF42&amp;" experienced reachers has the highest completion rate ("&amp;TEXT(AF41,"0%")&amp;")."</f>
        <v>• 11-20 Years experienced reachers has the highest completion rate (44%).</v>
      </c>
    </row>
    <row r="50" spans="2:32" ht="100.8" x14ac:dyDescent="0.3">
      <c r="AF50" s="19" t="str">
        <f>AF44 &amp; CHAR(10) &amp; AF45 &amp; CHAR(10) &amp; AF46 &amp; CHAR(10) &amp; AF47 &amp; CHAR(10)</f>
        <v xml:space="preserve">• Inclusive Education is the most enrolled course with 119 teachers.
• Delhi shows the highest completion rate (42%).
• Offline Mode shows the highest completion rate (35%).
• 11-20 Years experienced reachers has the highest completion rate (44%).
</v>
      </c>
    </row>
    <row r="56" spans="2:32" ht="28.2" x14ac:dyDescent="0.55000000000000004">
      <c r="B56" s="13" t="s">
        <v>1115</v>
      </c>
      <c r="C56" s="13"/>
      <c r="D56" s="13"/>
      <c r="E56" s="13"/>
      <c r="F56" s="13"/>
      <c r="G56" s="13"/>
      <c r="H56" s="13"/>
      <c r="I56" s="13"/>
      <c r="J56" s="13"/>
      <c r="K56" s="13"/>
      <c r="L56" s="13"/>
      <c r="M56" s="13"/>
      <c r="O56" s="14" t="s">
        <v>1130</v>
      </c>
      <c r="P56" s="14"/>
      <c r="Q56" s="14"/>
      <c r="R56" s="14"/>
      <c r="S56" s="14"/>
      <c r="T56" s="14"/>
      <c r="U56" s="14"/>
      <c r="V56" s="14"/>
      <c r="W56" s="14"/>
      <c r="X56" s="14"/>
      <c r="Y56" s="14"/>
    </row>
    <row r="70" spans="16:24" ht="16.2" x14ac:dyDescent="0.3">
      <c r="Q70" s="17" t="s">
        <v>1139</v>
      </c>
      <c r="R70" s="17"/>
      <c r="S70" s="17"/>
      <c r="T70" s="17"/>
      <c r="U70" s="17"/>
      <c r="V70" s="17"/>
      <c r="W70" s="17"/>
    </row>
    <row r="71" spans="16:24" ht="15.6" x14ac:dyDescent="0.3">
      <c r="P71" s="18" t="s">
        <v>1136</v>
      </c>
      <c r="Q71" s="18"/>
      <c r="R71" s="18"/>
      <c r="S71" s="18"/>
      <c r="T71" s="18"/>
      <c r="U71" s="18"/>
      <c r="V71" s="18"/>
      <c r="W71" s="18"/>
      <c r="X71" s="18"/>
    </row>
    <row r="72" spans="16:24" ht="15.6" x14ac:dyDescent="0.3">
      <c r="P72" s="18" t="s">
        <v>1137</v>
      </c>
      <c r="Q72" s="18"/>
      <c r="R72" s="18"/>
      <c r="S72" s="18"/>
      <c r="T72" s="18"/>
      <c r="U72" s="18"/>
      <c r="V72" s="18"/>
      <c r="W72" s="18"/>
      <c r="X72" s="18"/>
    </row>
    <row r="73" spans="16:24" ht="15.6" x14ac:dyDescent="0.3">
      <c r="P73" s="18" t="s">
        <v>1138</v>
      </c>
      <c r="Q73" s="18"/>
      <c r="R73" s="18"/>
      <c r="S73" s="18"/>
      <c r="T73" s="18"/>
      <c r="U73" s="18"/>
      <c r="V73" s="18"/>
      <c r="W73" s="18"/>
      <c r="X73" s="18"/>
    </row>
  </sheetData>
  <mergeCells count="12">
    <mergeCell ref="P71:X71"/>
    <mergeCell ref="P72:X72"/>
    <mergeCell ref="P73:X73"/>
    <mergeCell ref="Q70:W70"/>
    <mergeCell ref="E16:M16"/>
    <mergeCell ref="N16:W16"/>
    <mergeCell ref="B39:M39"/>
    <mergeCell ref="O39:Z39"/>
    <mergeCell ref="B56:M56"/>
    <mergeCell ref="O56:Y56"/>
    <mergeCell ref="G1:S1"/>
    <mergeCell ref="G2:S2"/>
  </mergeCells>
  <pageMargins left="0.7" right="0.7" top="0.75" bottom="0.75" header="0.3" footer="0.3"/>
  <pageSetup scale="34"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1"/>
  <sheetViews>
    <sheetView workbookViewId="0">
      <pane ySplit="1" topLeftCell="A2" activePane="bottomLeft" state="frozen"/>
      <selection pane="bottomLeft"/>
    </sheetView>
  </sheetViews>
  <sheetFormatPr defaultRowHeight="14.4" x14ac:dyDescent="0.3"/>
  <cols>
    <col min="1" max="1" width="12.6640625" bestFit="1" customWidth="1"/>
    <col min="2" max="2" width="16" bestFit="1" customWidth="1"/>
    <col min="3" max="3" width="9.33203125" bestFit="1" customWidth="1"/>
    <col min="4" max="4" width="6.44140625" bestFit="1" customWidth="1"/>
    <col min="5" max="5" width="17.6640625" bestFit="1" customWidth="1"/>
    <col min="6" max="6" width="15.77734375" bestFit="1" customWidth="1"/>
    <col min="7" max="7" width="21" bestFit="1" customWidth="1"/>
    <col min="8" max="8" width="22.6640625" bestFit="1" customWidth="1"/>
    <col min="9" max="9" width="18.88671875" bestFit="1" customWidth="1"/>
    <col min="10" max="10" width="12.109375" bestFit="1" customWidth="1"/>
    <col min="11" max="11" width="11.88671875" bestFit="1" customWidth="1"/>
    <col min="12" max="12" width="19.44140625" bestFit="1" customWidth="1"/>
    <col min="13" max="13" width="23.77734375" bestFit="1" customWidth="1"/>
    <col min="14" max="14" width="18.77734375" bestFit="1" customWidth="1"/>
    <col min="15" max="15" width="18.21875" bestFit="1" customWidth="1"/>
    <col min="16" max="16" width="16" bestFit="1" customWidth="1"/>
    <col min="17" max="17" width="9" bestFit="1" customWidth="1"/>
    <col min="18" max="18" width="11.44140625" bestFit="1" customWidth="1"/>
    <col min="19" max="19" width="21.109375" bestFit="1" customWidth="1"/>
    <col min="20" max="20" width="17.88671875" bestFit="1" customWidth="1"/>
    <col min="21" max="21" width="24" bestFit="1" customWidth="1"/>
    <col min="22" max="23" width="16.88671875" bestFit="1" customWidth="1"/>
    <col min="24" max="24" width="23.6640625" bestFit="1" customWidth="1"/>
    <col min="25" max="25" width="17.77734375" bestFit="1" customWidth="1"/>
  </cols>
  <sheetData>
    <row r="1" spans="1:25" x14ac:dyDescent="0.3">
      <c r="A1" t="s">
        <v>0</v>
      </c>
      <c r="B1" t="s">
        <v>1</v>
      </c>
      <c r="C1" t="s">
        <v>2</v>
      </c>
      <c r="D1" t="s">
        <v>3</v>
      </c>
      <c r="E1" t="s">
        <v>4</v>
      </c>
      <c r="F1" t="s">
        <v>5</v>
      </c>
      <c r="G1" t="s">
        <v>6</v>
      </c>
      <c r="H1" t="s">
        <v>7</v>
      </c>
      <c r="I1" t="s">
        <v>8</v>
      </c>
      <c r="J1" s="1" t="s">
        <v>9</v>
      </c>
      <c r="K1" s="1" t="s">
        <v>10</v>
      </c>
      <c r="L1" t="s">
        <v>11</v>
      </c>
      <c r="M1" t="s">
        <v>12</v>
      </c>
      <c r="N1" t="s">
        <v>13</v>
      </c>
      <c r="O1" t="s">
        <v>14</v>
      </c>
      <c r="P1" t="s">
        <v>15</v>
      </c>
      <c r="Q1" t="s">
        <v>16</v>
      </c>
      <c r="R1" t="s">
        <v>17</v>
      </c>
      <c r="S1" t="s">
        <v>18</v>
      </c>
      <c r="T1" t="s">
        <v>19</v>
      </c>
      <c r="U1" t="s">
        <v>1097</v>
      </c>
      <c r="V1" t="s">
        <v>1098</v>
      </c>
      <c r="W1" t="s">
        <v>1099</v>
      </c>
      <c r="X1" t="s">
        <v>1100</v>
      </c>
      <c r="Y1" t="s">
        <v>1101</v>
      </c>
    </row>
    <row r="2" spans="1:25" x14ac:dyDescent="0.3">
      <c r="A2" t="s">
        <v>20</v>
      </c>
      <c r="B2" t="s">
        <v>21</v>
      </c>
      <c r="C2" t="s">
        <v>22</v>
      </c>
      <c r="D2">
        <v>47</v>
      </c>
      <c r="E2" t="s">
        <v>23</v>
      </c>
      <c r="F2" t="s">
        <v>24</v>
      </c>
      <c r="G2" t="s">
        <v>25</v>
      </c>
      <c r="H2" t="s">
        <v>26</v>
      </c>
      <c r="I2" t="s">
        <v>27</v>
      </c>
      <c r="J2" s="1">
        <v>45406</v>
      </c>
      <c r="K2" s="1">
        <v>45419</v>
      </c>
      <c r="L2" t="s">
        <v>28</v>
      </c>
      <c r="M2" s="2">
        <v>67</v>
      </c>
      <c r="O2" t="s">
        <v>29</v>
      </c>
      <c r="P2">
        <v>32</v>
      </c>
      <c r="Q2" t="s">
        <v>30</v>
      </c>
      <c r="R2" t="s">
        <v>31</v>
      </c>
      <c r="S2" t="s">
        <v>32</v>
      </c>
      <c r="T2">
        <v>3</v>
      </c>
      <c r="U2" t="str">
        <f>IF(Teacher_Data[[#This Row],[Completion_Status]]="Completed","Yes","No")</f>
        <v>No</v>
      </c>
      <c r="V2">
        <f>IF(Teacher_Data[[#This Row],[Completion_Status]]="Completed",1,0)</f>
        <v>0</v>
      </c>
      <c r="W2">
        <f>1</f>
        <v>1</v>
      </c>
      <c r="X2">
        <f>Teacher_Data[[#This Row],[End_Date]]-Teacher_Data[[#This Row],[Start_Date]]</f>
        <v>13</v>
      </c>
      <c r="Y2" t="str">
        <f>_xlfn.IFS(Teacher_Data[[#This Row],[Experience_Years]]&lt;=5,"0-5 Years",Teacher_Data[[#This Row],[Experience_Years]]&lt;=10,"5-10 Years",Teacher_Data[[#This Row],[Experience_Years]]&lt;=20,"11-20 Years",TRUE,"20+ Years")</f>
        <v>0-5 Years</v>
      </c>
    </row>
    <row r="3" spans="1:25" x14ac:dyDescent="0.3">
      <c r="A3" t="s">
        <v>33</v>
      </c>
      <c r="B3" t="s">
        <v>34</v>
      </c>
      <c r="C3" t="s">
        <v>35</v>
      </c>
      <c r="D3">
        <v>22</v>
      </c>
      <c r="E3" t="s">
        <v>36</v>
      </c>
      <c r="F3" t="s">
        <v>37</v>
      </c>
      <c r="G3" t="s">
        <v>38</v>
      </c>
      <c r="H3" t="s">
        <v>39</v>
      </c>
      <c r="I3" t="s">
        <v>27</v>
      </c>
      <c r="J3" s="1">
        <v>45441</v>
      </c>
      <c r="K3" s="1">
        <v>45477</v>
      </c>
      <c r="L3" t="s">
        <v>28</v>
      </c>
      <c r="M3" s="2">
        <v>45</v>
      </c>
      <c r="O3" t="s">
        <v>29</v>
      </c>
      <c r="P3">
        <v>39</v>
      </c>
      <c r="Q3" t="s">
        <v>40</v>
      </c>
      <c r="R3" t="s">
        <v>41</v>
      </c>
      <c r="S3" t="s">
        <v>42</v>
      </c>
      <c r="T3">
        <v>3</v>
      </c>
      <c r="U3" t="str">
        <f>IF(Teacher_Data[[#This Row],[Completion_Status]]="Completed","Yes","No")</f>
        <v>No</v>
      </c>
      <c r="V3">
        <f>IF(Teacher_Data[[#This Row],[Completion_Status]]="Completed",1,0)</f>
        <v>0</v>
      </c>
      <c r="W3">
        <f>1</f>
        <v>1</v>
      </c>
      <c r="X3">
        <f>Teacher_Data[[#This Row],[End_Date]]-Teacher_Data[[#This Row],[Start_Date]]</f>
        <v>36</v>
      </c>
      <c r="Y3" t="str">
        <f>_xlfn.IFS(Teacher_Data[[#This Row],[Experience_Years]]&lt;=5,"0-5 Years",Teacher_Data[[#This Row],[Experience_Years]]&lt;=10,"5-10 Years",Teacher_Data[[#This Row],[Experience_Years]]&lt;=20,"11-20 Years",TRUE,"20+ Years")</f>
        <v>0-5 Years</v>
      </c>
    </row>
    <row r="4" spans="1:25" x14ac:dyDescent="0.3">
      <c r="A4" t="s">
        <v>43</v>
      </c>
      <c r="B4" t="s">
        <v>44</v>
      </c>
      <c r="C4" t="s">
        <v>22</v>
      </c>
      <c r="D4">
        <v>33</v>
      </c>
      <c r="E4" t="s">
        <v>23</v>
      </c>
      <c r="F4" t="s">
        <v>24</v>
      </c>
      <c r="G4" t="s">
        <v>45</v>
      </c>
      <c r="H4" t="s">
        <v>26</v>
      </c>
      <c r="I4" t="s">
        <v>46</v>
      </c>
      <c r="J4" s="1">
        <v>45360</v>
      </c>
      <c r="K4" s="1">
        <v>45380</v>
      </c>
      <c r="L4" t="s">
        <v>28</v>
      </c>
      <c r="M4" s="2">
        <v>53</v>
      </c>
      <c r="O4" t="s">
        <v>29</v>
      </c>
      <c r="P4">
        <v>39</v>
      </c>
      <c r="Q4" t="s">
        <v>40</v>
      </c>
      <c r="R4" t="s">
        <v>31</v>
      </c>
      <c r="S4" t="s">
        <v>47</v>
      </c>
      <c r="T4">
        <v>3</v>
      </c>
      <c r="U4" t="str">
        <f>IF(Teacher_Data[[#This Row],[Completion_Status]]="Completed","Yes","No")</f>
        <v>No</v>
      </c>
      <c r="V4">
        <f>IF(Teacher_Data[[#This Row],[Completion_Status]]="Completed",1,0)</f>
        <v>0</v>
      </c>
      <c r="W4">
        <f>1</f>
        <v>1</v>
      </c>
      <c r="X4">
        <f>Teacher_Data[[#This Row],[End_Date]]-Teacher_Data[[#This Row],[Start_Date]]</f>
        <v>20</v>
      </c>
      <c r="Y4" t="str">
        <f>_xlfn.IFS(Teacher_Data[[#This Row],[Experience_Years]]&lt;=5,"0-5 Years",Teacher_Data[[#This Row],[Experience_Years]]&lt;=10,"5-10 Years",Teacher_Data[[#This Row],[Experience_Years]]&lt;=20,"11-20 Years",TRUE,"20+ Years")</f>
        <v>0-5 Years</v>
      </c>
    </row>
    <row r="5" spans="1:25" x14ac:dyDescent="0.3">
      <c r="A5" t="s">
        <v>48</v>
      </c>
      <c r="B5" t="s">
        <v>49</v>
      </c>
      <c r="C5" t="s">
        <v>22</v>
      </c>
      <c r="D5">
        <v>43</v>
      </c>
      <c r="E5" t="s">
        <v>23</v>
      </c>
      <c r="F5" t="s">
        <v>37</v>
      </c>
      <c r="G5" t="s">
        <v>45</v>
      </c>
      <c r="H5" t="s">
        <v>50</v>
      </c>
      <c r="I5" t="s">
        <v>51</v>
      </c>
      <c r="J5" s="1">
        <v>45429</v>
      </c>
      <c r="K5" s="1">
        <v>45488</v>
      </c>
      <c r="L5" t="s">
        <v>52</v>
      </c>
      <c r="M5" s="2">
        <v>78</v>
      </c>
      <c r="N5">
        <v>92</v>
      </c>
      <c r="O5" t="s">
        <v>53</v>
      </c>
      <c r="P5">
        <v>13</v>
      </c>
      <c r="Q5" t="s">
        <v>30</v>
      </c>
      <c r="R5" t="s">
        <v>31</v>
      </c>
      <c r="S5" t="s">
        <v>54</v>
      </c>
      <c r="T5">
        <v>13</v>
      </c>
      <c r="U5" t="str">
        <f>IF(Teacher_Data[[#This Row],[Completion_Status]]="Completed","Yes","No")</f>
        <v>Yes</v>
      </c>
      <c r="V5">
        <f>IF(Teacher_Data[[#This Row],[Completion_Status]]="Completed",1,0)</f>
        <v>1</v>
      </c>
      <c r="W5">
        <f>1</f>
        <v>1</v>
      </c>
      <c r="X5">
        <f>Teacher_Data[[#This Row],[End_Date]]-Teacher_Data[[#This Row],[Start_Date]]</f>
        <v>59</v>
      </c>
      <c r="Y5" t="str">
        <f>_xlfn.IFS(Teacher_Data[[#This Row],[Experience_Years]]&lt;=5,"0-5 Years",Teacher_Data[[#This Row],[Experience_Years]]&lt;=10,"5-10 Years",Teacher_Data[[#This Row],[Experience_Years]]&lt;=20,"11-20 Years",TRUE,"20+ Years")</f>
        <v>11-20 Years</v>
      </c>
    </row>
    <row r="6" spans="1:25" x14ac:dyDescent="0.3">
      <c r="A6" t="s">
        <v>55</v>
      </c>
      <c r="B6" t="s">
        <v>56</v>
      </c>
      <c r="C6" t="s">
        <v>22</v>
      </c>
      <c r="D6">
        <v>37</v>
      </c>
      <c r="E6" t="s">
        <v>57</v>
      </c>
      <c r="F6" t="s">
        <v>37</v>
      </c>
      <c r="G6" t="s">
        <v>58</v>
      </c>
      <c r="H6" t="s">
        <v>59</v>
      </c>
      <c r="I6" t="s">
        <v>46</v>
      </c>
      <c r="J6" s="1">
        <v>45440</v>
      </c>
      <c r="K6" s="1">
        <v>45496</v>
      </c>
      <c r="L6" t="s">
        <v>60</v>
      </c>
      <c r="M6" s="2">
        <v>1</v>
      </c>
      <c r="O6" t="s">
        <v>29</v>
      </c>
      <c r="P6">
        <v>52</v>
      </c>
      <c r="Q6" t="s">
        <v>61</v>
      </c>
      <c r="R6" t="s">
        <v>62</v>
      </c>
      <c r="S6" t="s">
        <v>63</v>
      </c>
      <c r="T6">
        <v>19</v>
      </c>
      <c r="U6" t="str">
        <f>IF(Teacher_Data[[#This Row],[Completion_Status]]="Completed","Yes","No")</f>
        <v>No</v>
      </c>
      <c r="V6">
        <f>IF(Teacher_Data[[#This Row],[Completion_Status]]="Completed",1,0)</f>
        <v>0</v>
      </c>
      <c r="W6">
        <f>1</f>
        <v>1</v>
      </c>
      <c r="X6">
        <f>Teacher_Data[[#This Row],[End_Date]]-Teacher_Data[[#This Row],[Start_Date]]</f>
        <v>56</v>
      </c>
      <c r="Y6" t="str">
        <f>_xlfn.IFS(Teacher_Data[[#This Row],[Experience_Years]]&lt;=5,"0-5 Years",Teacher_Data[[#This Row],[Experience_Years]]&lt;=10,"5-10 Years",Teacher_Data[[#This Row],[Experience_Years]]&lt;=20,"11-20 Years",TRUE,"20+ Years")</f>
        <v>11-20 Years</v>
      </c>
    </row>
    <row r="7" spans="1:25" x14ac:dyDescent="0.3">
      <c r="A7" t="s">
        <v>64</v>
      </c>
      <c r="B7" t="s">
        <v>65</v>
      </c>
      <c r="C7" t="s">
        <v>35</v>
      </c>
      <c r="D7">
        <v>33</v>
      </c>
      <c r="E7" t="s">
        <v>66</v>
      </c>
      <c r="F7" t="s">
        <v>67</v>
      </c>
      <c r="G7" t="s">
        <v>25</v>
      </c>
      <c r="H7" t="s">
        <v>59</v>
      </c>
      <c r="I7" t="s">
        <v>51</v>
      </c>
      <c r="J7" s="1">
        <v>45545</v>
      </c>
      <c r="K7" s="1">
        <v>45564</v>
      </c>
      <c r="L7" t="s">
        <v>52</v>
      </c>
      <c r="M7" s="2">
        <v>73</v>
      </c>
      <c r="N7">
        <v>56</v>
      </c>
      <c r="O7" t="s">
        <v>53</v>
      </c>
      <c r="P7">
        <v>24</v>
      </c>
      <c r="Q7" t="s">
        <v>68</v>
      </c>
      <c r="R7" t="s">
        <v>31</v>
      </c>
      <c r="S7" t="s">
        <v>69</v>
      </c>
      <c r="T7">
        <v>8</v>
      </c>
      <c r="U7" t="str">
        <f>IF(Teacher_Data[[#This Row],[Completion_Status]]="Completed","Yes","No")</f>
        <v>Yes</v>
      </c>
      <c r="V7">
        <f>IF(Teacher_Data[[#This Row],[Completion_Status]]="Completed",1,0)</f>
        <v>1</v>
      </c>
      <c r="W7">
        <f>1</f>
        <v>1</v>
      </c>
      <c r="X7">
        <f>Teacher_Data[[#This Row],[End_Date]]-Teacher_Data[[#This Row],[Start_Date]]</f>
        <v>19</v>
      </c>
      <c r="Y7" t="str">
        <f>_xlfn.IFS(Teacher_Data[[#This Row],[Experience_Years]]&lt;=5,"0-5 Years",Teacher_Data[[#This Row],[Experience_Years]]&lt;=10,"5-10 Years",Teacher_Data[[#This Row],[Experience_Years]]&lt;=20,"11-20 Years",TRUE,"20+ Years")</f>
        <v>5-10 Years</v>
      </c>
    </row>
    <row r="8" spans="1:25" x14ac:dyDescent="0.3">
      <c r="A8" t="s">
        <v>70</v>
      </c>
      <c r="B8" t="s">
        <v>71</v>
      </c>
      <c r="C8" t="s">
        <v>22</v>
      </c>
      <c r="D8">
        <v>49</v>
      </c>
      <c r="E8" t="s">
        <v>36</v>
      </c>
      <c r="F8" t="s">
        <v>67</v>
      </c>
      <c r="G8" t="s">
        <v>45</v>
      </c>
      <c r="H8" t="s">
        <v>59</v>
      </c>
      <c r="I8" t="s">
        <v>27</v>
      </c>
      <c r="J8" s="1">
        <v>45458</v>
      </c>
      <c r="K8" s="1">
        <v>45480</v>
      </c>
      <c r="L8" t="s">
        <v>52</v>
      </c>
      <c r="M8" s="2">
        <v>84</v>
      </c>
      <c r="N8">
        <v>67</v>
      </c>
      <c r="O8" t="s">
        <v>53</v>
      </c>
      <c r="P8">
        <v>27</v>
      </c>
      <c r="Q8" t="s">
        <v>68</v>
      </c>
      <c r="R8" t="s">
        <v>72</v>
      </c>
      <c r="S8" t="s">
        <v>73</v>
      </c>
      <c r="T8">
        <v>15</v>
      </c>
      <c r="U8" t="str">
        <f>IF(Teacher_Data[[#This Row],[Completion_Status]]="Completed","Yes","No")</f>
        <v>Yes</v>
      </c>
      <c r="V8">
        <f>IF(Teacher_Data[[#This Row],[Completion_Status]]="Completed",1,0)</f>
        <v>1</v>
      </c>
      <c r="W8">
        <f>1</f>
        <v>1</v>
      </c>
      <c r="X8">
        <f>Teacher_Data[[#This Row],[End_Date]]-Teacher_Data[[#This Row],[Start_Date]]</f>
        <v>22</v>
      </c>
      <c r="Y8" t="str">
        <f>_xlfn.IFS(Teacher_Data[[#This Row],[Experience_Years]]&lt;=5,"0-5 Years",Teacher_Data[[#This Row],[Experience_Years]]&lt;=10,"5-10 Years",Teacher_Data[[#This Row],[Experience_Years]]&lt;=20,"11-20 Years",TRUE,"20+ Years")</f>
        <v>11-20 Years</v>
      </c>
    </row>
    <row r="9" spans="1:25" x14ac:dyDescent="0.3">
      <c r="A9" t="s">
        <v>74</v>
      </c>
      <c r="B9" t="s">
        <v>75</v>
      </c>
      <c r="C9" t="s">
        <v>22</v>
      </c>
      <c r="D9">
        <v>41</v>
      </c>
      <c r="E9" t="s">
        <v>66</v>
      </c>
      <c r="F9" t="s">
        <v>37</v>
      </c>
      <c r="G9" t="s">
        <v>76</v>
      </c>
      <c r="H9" t="s">
        <v>59</v>
      </c>
      <c r="I9" t="s">
        <v>46</v>
      </c>
      <c r="J9" s="1">
        <v>45550</v>
      </c>
      <c r="K9" s="1">
        <v>45565</v>
      </c>
      <c r="L9" t="s">
        <v>28</v>
      </c>
      <c r="M9" s="2">
        <v>81</v>
      </c>
      <c r="O9" t="s">
        <v>29</v>
      </c>
      <c r="P9">
        <v>54</v>
      </c>
      <c r="Q9" t="s">
        <v>30</v>
      </c>
      <c r="R9" t="s">
        <v>62</v>
      </c>
      <c r="S9" t="s">
        <v>77</v>
      </c>
      <c r="T9">
        <v>35</v>
      </c>
      <c r="U9" t="str">
        <f>IF(Teacher_Data[[#This Row],[Completion_Status]]="Completed","Yes","No")</f>
        <v>No</v>
      </c>
      <c r="V9">
        <f>IF(Teacher_Data[[#This Row],[Completion_Status]]="Completed",1,0)</f>
        <v>0</v>
      </c>
      <c r="W9">
        <f>1</f>
        <v>1</v>
      </c>
      <c r="X9">
        <f>Teacher_Data[[#This Row],[End_Date]]-Teacher_Data[[#This Row],[Start_Date]]</f>
        <v>15</v>
      </c>
      <c r="Y9" t="str">
        <f>_xlfn.IFS(Teacher_Data[[#This Row],[Experience_Years]]&lt;=5,"0-5 Years",Teacher_Data[[#This Row],[Experience_Years]]&lt;=10,"5-10 Years",Teacher_Data[[#This Row],[Experience_Years]]&lt;=20,"11-20 Years",TRUE,"20+ Years")</f>
        <v>20+ Years</v>
      </c>
    </row>
    <row r="10" spans="1:25" x14ac:dyDescent="0.3">
      <c r="A10" t="s">
        <v>78</v>
      </c>
      <c r="B10" t="s">
        <v>79</v>
      </c>
      <c r="C10" t="s">
        <v>35</v>
      </c>
      <c r="D10">
        <v>31</v>
      </c>
      <c r="E10" t="s">
        <v>66</v>
      </c>
      <c r="F10" t="s">
        <v>67</v>
      </c>
      <c r="G10" t="s">
        <v>25</v>
      </c>
      <c r="H10" t="s">
        <v>39</v>
      </c>
      <c r="I10" t="s">
        <v>46</v>
      </c>
      <c r="J10" s="1">
        <v>45534</v>
      </c>
      <c r="K10" s="1">
        <v>45550</v>
      </c>
      <c r="L10" t="s">
        <v>28</v>
      </c>
      <c r="M10" s="2">
        <v>67</v>
      </c>
      <c r="O10" t="s">
        <v>29</v>
      </c>
      <c r="P10">
        <v>45</v>
      </c>
      <c r="Q10" t="s">
        <v>40</v>
      </c>
      <c r="R10" t="s">
        <v>31</v>
      </c>
      <c r="S10" t="s">
        <v>80</v>
      </c>
      <c r="T10">
        <v>25</v>
      </c>
      <c r="U10" t="str">
        <f>IF(Teacher_Data[[#This Row],[Completion_Status]]="Completed","Yes","No")</f>
        <v>No</v>
      </c>
      <c r="V10">
        <f>IF(Teacher_Data[[#This Row],[Completion_Status]]="Completed",1,0)</f>
        <v>0</v>
      </c>
      <c r="W10">
        <f>1</f>
        <v>1</v>
      </c>
      <c r="X10">
        <f>Teacher_Data[[#This Row],[End_Date]]-Teacher_Data[[#This Row],[Start_Date]]</f>
        <v>16</v>
      </c>
      <c r="Y10" t="str">
        <f>_xlfn.IFS(Teacher_Data[[#This Row],[Experience_Years]]&lt;=5,"0-5 Years",Teacher_Data[[#This Row],[Experience_Years]]&lt;=10,"5-10 Years",Teacher_Data[[#This Row],[Experience_Years]]&lt;=20,"11-20 Years",TRUE,"20+ Years")</f>
        <v>20+ Years</v>
      </c>
    </row>
    <row r="11" spans="1:25" x14ac:dyDescent="0.3">
      <c r="A11" t="s">
        <v>81</v>
      </c>
      <c r="B11" t="s">
        <v>82</v>
      </c>
      <c r="C11" t="s">
        <v>22</v>
      </c>
      <c r="D11">
        <v>29</v>
      </c>
      <c r="E11" t="s">
        <v>57</v>
      </c>
      <c r="F11" t="s">
        <v>83</v>
      </c>
      <c r="G11" t="s">
        <v>25</v>
      </c>
      <c r="H11" t="s">
        <v>39</v>
      </c>
      <c r="I11" t="s">
        <v>46</v>
      </c>
      <c r="J11" s="1">
        <v>45357</v>
      </c>
      <c r="K11" s="1">
        <v>45415</v>
      </c>
      <c r="L11" t="s">
        <v>52</v>
      </c>
      <c r="M11" s="2">
        <v>92</v>
      </c>
      <c r="N11">
        <v>92</v>
      </c>
      <c r="O11" t="s">
        <v>53</v>
      </c>
      <c r="P11">
        <v>45</v>
      </c>
      <c r="Q11" t="s">
        <v>40</v>
      </c>
      <c r="R11" t="s">
        <v>62</v>
      </c>
      <c r="S11" t="s">
        <v>84</v>
      </c>
      <c r="T11">
        <v>23</v>
      </c>
      <c r="U11" t="str">
        <f>IF(Teacher_Data[[#This Row],[Completion_Status]]="Completed","Yes","No")</f>
        <v>Yes</v>
      </c>
      <c r="V11">
        <f>IF(Teacher_Data[[#This Row],[Completion_Status]]="Completed",1,0)</f>
        <v>1</v>
      </c>
      <c r="W11">
        <f>1</f>
        <v>1</v>
      </c>
      <c r="X11">
        <f>Teacher_Data[[#This Row],[End_Date]]-Teacher_Data[[#This Row],[Start_Date]]</f>
        <v>58</v>
      </c>
      <c r="Y11" t="str">
        <f>_xlfn.IFS(Teacher_Data[[#This Row],[Experience_Years]]&lt;=5,"0-5 Years",Teacher_Data[[#This Row],[Experience_Years]]&lt;=10,"5-10 Years",Teacher_Data[[#This Row],[Experience_Years]]&lt;=20,"11-20 Years",TRUE,"20+ Years")</f>
        <v>20+ Years</v>
      </c>
    </row>
    <row r="12" spans="1:25" x14ac:dyDescent="0.3">
      <c r="A12" t="s">
        <v>85</v>
      </c>
      <c r="B12" t="s">
        <v>86</v>
      </c>
      <c r="C12" t="s">
        <v>35</v>
      </c>
      <c r="D12">
        <v>59</v>
      </c>
      <c r="E12" t="s">
        <v>66</v>
      </c>
      <c r="F12" t="s">
        <v>83</v>
      </c>
      <c r="G12" t="s">
        <v>58</v>
      </c>
      <c r="H12" t="s">
        <v>26</v>
      </c>
      <c r="I12" t="s">
        <v>27</v>
      </c>
      <c r="J12" s="1">
        <v>45299</v>
      </c>
      <c r="K12" s="1">
        <v>45343</v>
      </c>
      <c r="L12" t="s">
        <v>60</v>
      </c>
      <c r="M12" s="2">
        <v>4</v>
      </c>
      <c r="O12" t="s">
        <v>29</v>
      </c>
      <c r="P12">
        <v>24</v>
      </c>
      <c r="Q12" t="s">
        <v>40</v>
      </c>
      <c r="R12" t="s">
        <v>62</v>
      </c>
      <c r="S12" t="s">
        <v>87</v>
      </c>
      <c r="T12">
        <v>15</v>
      </c>
      <c r="U12" t="str">
        <f>IF(Teacher_Data[[#This Row],[Completion_Status]]="Completed","Yes","No")</f>
        <v>No</v>
      </c>
      <c r="V12">
        <f>IF(Teacher_Data[[#This Row],[Completion_Status]]="Completed",1,0)</f>
        <v>0</v>
      </c>
      <c r="W12">
        <f>1</f>
        <v>1</v>
      </c>
      <c r="X12">
        <f>Teacher_Data[[#This Row],[End_Date]]-Teacher_Data[[#This Row],[Start_Date]]</f>
        <v>44</v>
      </c>
      <c r="Y12" t="str">
        <f>_xlfn.IFS(Teacher_Data[[#This Row],[Experience_Years]]&lt;=5,"0-5 Years",Teacher_Data[[#This Row],[Experience_Years]]&lt;=10,"5-10 Years",Teacher_Data[[#This Row],[Experience_Years]]&lt;=20,"11-20 Years",TRUE,"20+ Years")</f>
        <v>11-20 Years</v>
      </c>
    </row>
    <row r="13" spans="1:25" x14ac:dyDescent="0.3">
      <c r="A13" t="s">
        <v>88</v>
      </c>
      <c r="B13" t="s">
        <v>89</v>
      </c>
      <c r="C13" t="s">
        <v>35</v>
      </c>
      <c r="D13">
        <v>41</v>
      </c>
      <c r="E13" t="s">
        <v>36</v>
      </c>
      <c r="F13" t="s">
        <v>24</v>
      </c>
      <c r="G13" t="s">
        <v>38</v>
      </c>
      <c r="H13" t="s">
        <v>50</v>
      </c>
      <c r="I13" t="s">
        <v>46</v>
      </c>
      <c r="J13" s="1">
        <v>45518</v>
      </c>
      <c r="K13" s="1">
        <v>45529</v>
      </c>
      <c r="L13" t="s">
        <v>28</v>
      </c>
      <c r="M13" s="2">
        <v>97</v>
      </c>
      <c r="O13" t="s">
        <v>29</v>
      </c>
      <c r="P13">
        <v>7</v>
      </c>
      <c r="Q13" t="s">
        <v>68</v>
      </c>
      <c r="R13" t="s">
        <v>72</v>
      </c>
      <c r="S13" t="s">
        <v>90</v>
      </c>
      <c r="T13">
        <v>31</v>
      </c>
      <c r="U13" t="str">
        <f>IF(Teacher_Data[[#This Row],[Completion_Status]]="Completed","Yes","No")</f>
        <v>No</v>
      </c>
      <c r="V13">
        <f>IF(Teacher_Data[[#This Row],[Completion_Status]]="Completed",1,0)</f>
        <v>0</v>
      </c>
      <c r="W13">
        <f>1</f>
        <v>1</v>
      </c>
      <c r="X13">
        <f>Teacher_Data[[#This Row],[End_Date]]-Teacher_Data[[#This Row],[Start_Date]]</f>
        <v>11</v>
      </c>
      <c r="Y13" t="str">
        <f>_xlfn.IFS(Teacher_Data[[#This Row],[Experience_Years]]&lt;=5,"0-5 Years",Teacher_Data[[#This Row],[Experience_Years]]&lt;=10,"5-10 Years",Teacher_Data[[#This Row],[Experience_Years]]&lt;=20,"11-20 Years",TRUE,"20+ Years")</f>
        <v>20+ Years</v>
      </c>
    </row>
    <row r="14" spans="1:25" x14ac:dyDescent="0.3">
      <c r="A14" t="s">
        <v>91</v>
      </c>
      <c r="B14" t="s">
        <v>71</v>
      </c>
      <c r="C14" t="s">
        <v>22</v>
      </c>
      <c r="D14">
        <v>23</v>
      </c>
      <c r="E14" t="s">
        <v>66</v>
      </c>
      <c r="F14" t="s">
        <v>37</v>
      </c>
      <c r="G14" t="s">
        <v>58</v>
      </c>
      <c r="H14" t="s">
        <v>50</v>
      </c>
      <c r="I14" t="s">
        <v>46</v>
      </c>
      <c r="J14" s="1">
        <v>45504</v>
      </c>
      <c r="K14" s="1">
        <v>45554</v>
      </c>
      <c r="L14" t="s">
        <v>60</v>
      </c>
      <c r="M14" s="2">
        <v>1</v>
      </c>
      <c r="O14" t="s">
        <v>29</v>
      </c>
      <c r="P14">
        <v>44</v>
      </c>
      <c r="Q14" t="s">
        <v>61</v>
      </c>
      <c r="R14" t="s">
        <v>41</v>
      </c>
      <c r="S14" t="s">
        <v>92</v>
      </c>
      <c r="T14">
        <v>34</v>
      </c>
      <c r="U14" t="str">
        <f>IF(Teacher_Data[[#This Row],[Completion_Status]]="Completed","Yes","No")</f>
        <v>No</v>
      </c>
      <c r="V14">
        <f>IF(Teacher_Data[[#This Row],[Completion_Status]]="Completed",1,0)</f>
        <v>0</v>
      </c>
      <c r="W14">
        <f>1</f>
        <v>1</v>
      </c>
      <c r="X14">
        <f>Teacher_Data[[#This Row],[End_Date]]-Teacher_Data[[#This Row],[Start_Date]]</f>
        <v>50</v>
      </c>
      <c r="Y14" t="str">
        <f>_xlfn.IFS(Teacher_Data[[#This Row],[Experience_Years]]&lt;=5,"0-5 Years",Teacher_Data[[#This Row],[Experience_Years]]&lt;=10,"5-10 Years",Teacher_Data[[#This Row],[Experience_Years]]&lt;=20,"11-20 Years",TRUE,"20+ Years")</f>
        <v>20+ Years</v>
      </c>
    </row>
    <row r="15" spans="1:25" x14ac:dyDescent="0.3">
      <c r="A15" t="s">
        <v>93</v>
      </c>
      <c r="B15" t="s">
        <v>94</v>
      </c>
      <c r="C15" t="s">
        <v>35</v>
      </c>
      <c r="D15">
        <v>42</v>
      </c>
      <c r="E15" t="s">
        <v>57</v>
      </c>
      <c r="F15" t="s">
        <v>24</v>
      </c>
      <c r="G15" t="s">
        <v>38</v>
      </c>
      <c r="H15" t="s">
        <v>50</v>
      </c>
      <c r="I15" t="s">
        <v>51</v>
      </c>
      <c r="J15" s="1">
        <v>45353</v>
      </c>
      <c r="K15" s="1">
        <v>45401</v>
      </c>
      <c r="L15" t="s">
        <v>28</v>
      </c>
      <c r="M15" s="2">
        <v>99</v>
      </c>
      <c r="O15" t="s">
        <v>29</v>
      </c>
      <c r="P15">
        <v>23</v>
      </c>
      <c r="Q15" t="s">
        <v>40</v>
      </c>
      <c r="R15" t="s">
        <v>31</v>
      </c>
      <c r="S15" t="s">
        <v>95</v>
      </c>
      <c r="T15">
        <v>34</v>
      </c>
      <c r="U15" t="str">
        <f>IF(Teacher_Data[[#This Row],[Completion_Status]]="Completed","Yes","No")</f>
        <v>No</v>
      </c>
      <c r="V15">
        <f>IF(Teacher_Data[[#This Row],[Completion_Status]]="Completed",1,0)</f>
        <v>0</v>
      </c>
      <c r="W15">
        <f>1</f>
        <v>1</v>
      </c>
      <c r="X15">
        <f>Teacher_Data[[#This Row],[End_Date]]-Teacher_Data[[#This Row],[Start_Date]]</f>
        <v>48</v>
      </c>
      <c r="Y15" t="str">
        <f>_xlfn.IFS(Teacher_Data[[#This Row],[Experience_Years]]&lt;=5,"0-5 Years",Teacher_Data[[#This Row],[Experience_Years]]&lt;=10,"5-10 Years",Teacher_Data[[#This Row],[Experience_Years]]&lt;=20,"11-20 Years",TRUE,"20+ Years")</f>
        <v>20+ Years</v>
      </c>
    </row>
    <row r="16" spans="1:25" x14ac:dyDescent="0.3">
      <c r="A16" t="s">
        <v>96</v>
      </c>
      <c r="B16" t="s">
        <v>86</v>
      </c>
      <c r="C16" t="s">
        <v>22</v>
      </c>
      <c r="D16">
        <v>53</v>
      </c>
      <c r="E16" t="s">
        <v>57</v>
      </c>
      <c r="F16" t="s">
        <v>83</v>
      </c>
      <c r="G16" t="s">
        <v>45</v>
      </c>
      <c r="H16" t="s">
        <v>39</v>
      </c>
      <c r="I16" t="s">
        <v>27</v>
      </c>
      <c r="J16" s="1">
        <v>45578</v>
      </c>
      <c r="K16" s="1">
        <v>45590</v>
      </c>
      <c r="L16" t="s">
        <v>52</v>
      </c>
      <c r="M16" s="2">
        <v>73</v>
      </c>
      <c r="N16">
        <v>56</v>
      </c>
      <c r="O16" t="s">
        <v>53</v>
      </c>
      <c r="P16">
        <v>36</v>
      </c>
      <c r="Q16" t="s">
        <v>40</v>
      </c>
      <c r="R16" t="s">
        <v>31</v>
      </c>
      <c r="S16" t="s">
        <v>97</v>
      </c>
      <c r="T16">
        <v>18</v>
      </c>
      <c r="U16" t="str">
        <f>IF(Teacher_Data[[#This Row],[Completion_Status]]="Completed","Yes","No")</f>
        <v>Yes</v>
      </c>
      <c r="V16">
        <f>IF(Teacher_Data[[#This Row],[Completion_Status]]="Completed",1,0)</f>
        <v>1</v>
      </c>
      <c r="W16">
        <f>1</f>
        <v>1</v>
      </c>
      <c r="X16">
        <f>Teacher_Data[[#This Row],[End_Date]]-Teacher_Data[[#This Row],[Start_Date]]</f>
        <v>12</v>
      </c>
      <c r="Y16" t="str">
        <f>_xlfn.IFS(Teacher_Data[[#This Row],[Experience_Years]]&lt;=5,"0-5 Years",Teacher_Data[[#This Row],[Experience_Years]]&lt;=10,"5-10 Years",Teacher_Data[[#This Row],[Experience_Years]]&lt;=20,"11-20 Years",TRUE,"20+ Years")</f>
        <v>11-20 Years</v>
      </c>
    </row>
    <row r="17" spans="1:25" x14ac:dyDescent="0.3">
      <c r="A17" t="s">
        <v>98</v>
      </c>
      <c r="B17" t="s">
        <v>99</v>
      </c>
      <c r="C17" t="s">
        <v>22</v>
      </c>
      <c r="D17">
        <v>47</v>
      </c>
      <c r="E17" t="s">
        <v>66</v>
      </c>
      <c r="F17" t="s">
        <v>100</v>
      </c>
      <c r="G17" t="s">
        <v>76</v>
      </c>
      <c r="H17" t="s">
        <v>26</v>
      </c>
      <c r="I17" t="s">
        <v>46</v>
      </c>
      <c r="J17" s="1">
        <v>45378</v>
      </c>
      <c r="K17" s="1">
        <v>45414</v>
      </c>
      <c r="L17" t="s">
        <v>60</v>
      </c>
      <c r="M17" s="2">
        <v>13</v>
      </c>
      <c r="O17" t="s">
        <v>29</v>
      </c>
      <c r="P17">
        <v>48</v>
      </c>
      <c r="Q17" t="s">
        <v>30</v>
      </c>
      <c r="R17" t="s">
        <v>72</v>
      </c>
      <c r="S17" t="s">
        <v>101</v>
      </c>
      <c r="T17">
        <v>31</v>
      </c>
      <c r="U17" t="str">
        <f>IF(Teacher_Data[[#This Row],[Completion_Status]]="Completed","Yes","No")</f>
        <v>No</v>
      </c>
      <c r="V17">
        <f>IF(Teacher_Data[[#This Row],[Completion_Status]]="Completed",1,0)</f>
        <v>0</v>
      </c>
      <c r="W17">
        <f>1</f>
        <v>1</v>
      </c>
      <c r="X17">
        <f>Teacher_Data[[#This Row],[End_Date]]-Teacher_Data[[#This Row],[Start_Date]]</f>
        <v>36</v>
      </c>
      <c r="Y17" t="str">
        <f>_xlfn.IFS(Teacher_Data[[#This Row],[Experience_Years]]&lt;=5,"0-5 Years",Teacher_Data[[#This Row],[Experience_Years]]&lt;=10,"5-10 Years",Teacher_Data[[#This Row],[Experience_Years]]&lt;=20,"11-20 Years",TRUE,"20+ Years")</f>
        <v>20+ Years</v>
      </c>
    </row>
    <row r="18" spans="1:25" x14ac:dyDescent="0.3">
      <c r="A18" t="s">
        <v>102</v>
      </c>
      <c r="B18" t="s">
        <v>103</v>
      </c>
      <c r="C18" t="s">
        <v>35</v>
      </c>
      <c r="D18">
        <v>59</v>
      </c>
      <c r="E18" t="s">
        <v>57</v>
      </c>
      <c r="F18" t="s">
        <v>100</v>
      </c>
      <c r="G18" t="s">
        <v>58</v>
      </c>
      <c r="H18" t="s">
        <v>26</v>
      </c>
      <c r="I18" t="s">
        <v>46</v>
      </c>
      <c r="J18" s="1">
        <v>45364</v>
      </c>
      <c r="K18" s="1">
        <v>45397</v>
      </c>
      <c r="L18" t="s">
        <v>28</v>
      </c>
      <c r="M18" s="2">
        <v>50</v>
      </c>
      <c r="O18" t="s">
        <v>29</v>
      </c>
      <c r="P18">
        <v>52</v>
      </c>
      <c r="Q18" t="s">
        <v>61</v>
      </c>
      <c r="R18" t="s">
        <v>104</v>
      </c>
      <c r="S18" t="s">
        <v>105</v>
      </c>
      <c r="T18">
        <v>33</v>
      </c>
      <c r="U18" t="str">
        <f>IF(Teacher_Data[[#This Row],[Completion_Status]]="Completed","Yes","No")</f>
        <v>No</v>
      </c>
      <c r="V18">
        <f>IF(Teacher_Data[[#This Row],[Completion_Status]]="Completed",1,0)</f>
        <v>0</v>
      </c>
      <c r="W18">
        <f>1</f>
        <v>1</v>
      </c>
      <c r="X18">
        <f>Teacher_Data[[#This Row],[End_Date]]-Teacher_Data[[#This Row],[Start_Date]]</f>
        <v>33</v>
      </c>
      <c r="Y18" t="str">
        <f>_xlfn.IFS(Teacher_Data[[#This Row],[Experience_Years]]&lt;=5,"0-5 Years",Teacher_Data[[#This Row],[Experience_Years]]&lt;=10,"5-10 Years",Teacher_Data[[#This Row],[Experience_Years]]&lt;=20,"11-20 Years",TRUE,"20+ Years")</f>
        <v>20+ Years</v>
      </c>
    </row>
    <row r="19" spans="1:25" x14ac:dyDescent="0.3">
      <c r="A19" t="s">
        <v>106</v>
      </c>
      <c r="B19" t="s">
        <v>107</v>
      </c>
      <c r="C19" t="s">
        <v>35</v>
      </c>
      <c r="D19">
        <v>29</v>
      </c>
      <c r="E19" t="s">
        <v>36</v>
      </c>
      <c r="F19" t="s">
        <v>100</v>
      </c>
      <c r="G19" t="s">
        <v>45</v>
      </c>
      <c r="H19" t="s">
        <v>26</v>
      </c>
      <c r="I19" t="s">
        <v>51</v>
      </c>
      <c r="J19" s="1">
        <v>45390</v>
      </c>
      <c r="K19" s="1">
        <v>45422</v>
      </c>
      <c r="L19" t="s">
        <v>60</v>
      </c>
      <c r="M19" s="2">
        <v>21</v>
      </c>
      <c r="O19" t="s">
        <v>29</v>
      </c>
      <c r="P19">
        <v>17</v>
      </c>
      <c r="Q19" t="s">
        <v>40</v>
      </c>
      <c r="R19" t="s">
        <v>104</v>
      </c>
      <c r="S19" t="s">
        <v>108</v>
      </c>
      <c r="T19">
        <v>32</v>
      </c>
      <c r="U19" t="str">
        <f>IF(Teacher_Data[[#This Row],[Completion_Status]]="Completed","Yes","No")</f>
        <v>No</v>
      </c>
      <c r="V19">
        <f>IF(Teacher_Data[[#This Row],[Completion_Status]]="Completed",1,0)</f>
        <v>0</v>
      </c>
      <c r="W19">
        <f>1</f>
        <v>1</v>
      </c>
      <c r="X19">
        <f>Teacher_Data[[#This Row],[End_Date]]-Teacher_Data[[#This Row],[Start_Date]]</f>
        <v>32</v>
      </c>
      <c r="Y19" t="str">
        <f>_xlfn.IFS(Teacher_Data[[#This Row],[Experience_Years]]&lt;=5,"0-5 Years",Teacher_Data[[#This Row],[Experience_Years]]&lt;=10,"5-10 Years",Teacher_Data[[#This Row],[Experience_Years]]&lt;=20,"11-20 Years",TRUE,"20+ Years")</f>
        <v>20+ Years</v>
      </c>
    </row>
    <row r="20" spans="1:25" x14ac:dyDescent="0.3">
      <c r="A20" t="s">
        <v>109</v>
      </c>
      <c r="B20" t="s">
        <v>110</v>
      </c>
      <c r="C20" t="s">
        <v>35</v>
      </c>
      <c r="D20">
        <v>47</v>
      </c>
      <c r="E20" t="s">
        <v>66</v>
      </c>
      <c r="F20" t="s">
        <v>24</v>
      </c>
      <c r="G20" t="s">
        <v>58</v>
      </c>
      <c r="H20" t="s">
        <v>59</v>
      </c>
      <c r="I20" t="s">
        <v>27</v>
      </c>
      <c r="J20" s="1">
        <v>45484</v>
      </c>
      <c r="K20" s="1">
        <v>45520</v>
      </c>
      <c r="L20" t="s">
        <v>52</v>
      </c>
      <c r="M20" s="2">
        <v>41</v>
      </c>
      <c r="N20">
        <v>88</v>
      </c>
      <c r="O20" t="s">
        <v>53</v>
      </c>
      <c r="P20">
        <v>16</v>
      </c>
      <c r="Q20" t="s">
        <v>68</v>
      </c>
      <c r="R20" t="s">
        <v>41</v>
      </c>
      <c r="S20" t="s">
        <v>111</v>
      </c>
      <c r="T20">
        <v>20</v>
      </c>
      <c r="U20" t="str">
        <f>IF(Teacher_Data[[#This Row],[Completion_Status]]="Completed","Yes","No")</f>
        <v>Yes</v>
      </c>
      <c r="V20">
        <f>IF(Teacher_Data[[#This Row],[Completion_Status]]="Completed",1,0)</f>
        <v>1</v>
      </c>
      <c r="W20">
        <f>1</f>
        <v>1</v>
      </c>
      <c r="X20">
        <f>Teacher_Data[[#This Row],[End_Date]]-Teacher_Data[[#This Row],[Start_Date]]</f>
        <v>36</v>
      </c>
      <c r="Y20" t="str">
        <f>_xlfn.IFS(Teacher_Data[[#This Row],[Experience_Years]]&lt;=5,"0-5 Years",Teacher_Data[[#This Row],[Experience_Years]]&lt;=10,"5-10 Years",Teacher_Data[[#This Row],[Experience_Years]]&lt;=20,"11-20 Years",TRUE,"20+ Years")</f>
        <v>11-20 Years</v>
      </c>
    </row>
    <row r="21" spans="1:25" x14ac:dyDescent="0.3">
      <c r="A21" t="s">
        <v>112</v>
      </c>
      <c r="B21" t="s">
        <v>99</v>
      </c>
      <c r="C21" t="s">
        <v>22</v>
      </c>
      <c r="D21">
        <v>30</v>
      </c>
      <c r="E21" t="s">
        <v>36</v>
      </c>
      <c r="F21" t="s">
        <v>100</v>
      </c>
      <c r="G21" t="s">
        <v>38</v>
      </c>
      <c r="H21" t="s">
        <v>26</v>
      </c>
      <c r="I21" t="s">
        <v>46</v>
      </c>
      <c r="J21" s="1">
        <v>45518</v>
      </c>
      <c r="K21" s="1">
        <v>45523</v>
      </c>
      <c r="L21" t="s">
        <v>60</v>
      </c>
      <c r="M21" s="2">
        <v>5</v>
      </c>
      <c r="O21" t="s">
        <v>29</v>
      </c>
      <c r="P21">
        <v>22</v>
      </c>
      <c r="Q21" t="s">
        <v>30</v>
      </c>
      <c r="R21" t="s">
        <v>72</v>
      </c>
      <c r="S21" t="s">
        <v>113</v>
      </c>
      <c r="T21">
        <v>5</v>
      </c>
      <c r="U21" t="str">
        <f>IF(Teacher_Data[[#This Row],[Completion_Status]]="Completed","Yes","No")</f>
        <v>No</v>
      </c>
      <c r="V21">
        <f>IF(Teacher_Data[[#This Row],[Completion_Status]]="Completed",1,0)</f>
        <v>0</v>
      </c>
      <c r="W21">
        <f>1</f>
        <v>1</v>
      </c>
      <c r="X21">
        <f>Teacher_Data[[#This Row],[End_Date]]-Teacher_Data[[#This Row],[Start_Date]]</f>
        <v>5</v>
      </c>
      <c r="Y21" t="str">
        <f>_xlfn.IFS(Teacher_Data[[#This Row],[Experience_Years]]&lt;=5,"0-5 Years",Teacher_Data[[#This Row],[Experience_Years]]&lt;=10,"5-10 Years",Teacher_Data[[#This Row],[Experience_Years]]&lt;=20,"11-20 Years",TRUE,"20+ Years")</f>
        <v>0-5 Years</v>
      </c>
    </row>
    <row r="22" spans="1:25" x14ac:dyDescent="0.3">
      <c r="A22" t="s">
        <v>114</v>
      </c>
      <c r="B22" t="s">
        <v>115</v>
      </c>
      <c r="C22" t="s">
        <v>35</v>
      </c>
      <c r="D22">
        <v>32</v>
      </c>
      <c r="E22" t="s">
        <v>57</v>
      </c>
      <c r="F22" t="s">
        <v>83</v>
      </c>
      <c r="G22" t="s">
        <v>76</v>
      </c>
      <c r="H22" t="s">
        <v>50</v>
      </c>
      <c r="I22" t="s">
        <v>27</v>
      </c>
      <c r="J22" s="1">
        <v>45534</v>
      </c>
      <c r="K22" s="1">
        <v>45570</v>
      </c>
      <c r="L22" t="s">
        <v>28</v>
      </c>
      <c r="M22" s="2">
        <v>98</v>
      </c>
      <c r="O22" t="s">
        <v>29</v>
      </c>
      <c r="P22">
        <v>33</v>
      </c>
      <c r="Q22" t="s">
        <v>40</v>
      </c>
      <c r="R22" t="s">
        <v>104</v>
      </c>
      <c r="S22" t="s">
        <v>116</v>
      </c>
      <c r="T22">
        <v>33</v>
      </c>
      <c r="U22" t="str">
        <f>IF(Teacher_Data[[#This Row],[Completion_Status]]="Completed","Yes","No")</f>
        <v>No</v>
      </c>
      <c r="V22">
        <f>IF(Teacher_Data[[#This Row],[Completion_Status]]="Completed",1,0)</f>
        <v>0</v>
      </c>
      <c r="W22">
        <f>1</f>
        <v>1</v>
      </c>
      <c r="X22">
        <f>Teacher_Data[[#This Row],[End_Date]]-Teacher_Data[[#This Row],[Start_Date]]</f>
        <v>36</v>
      </c>
      <c r="Y22" t="str">
        <f>_xlfn.IFS(Teacher_Data[[#This Row],[Experience_Years]]&lt;=5,"0-5 Years",Teacher_Data[[#This Row],[Experience_Years]]&lt;=10,"5-10 Years",Teacher_Data[[#This Row],[Experience_Years]]&lt;=20,"11-20 Years",TRUE,"20+ Years")</f>
        <v>20+ Years</v>
      </c>
    </row>
    <row r="23" spans="1:25" x14ac:dyDescent="0.3">
      <c r="A23" t="s">
        <v>117</v>
      </c>
      <c r="B23" t="s">
        <v>118</v>
      </c>
      <c r="C23" t="s">
        <v>35</v>
      </c>
      <c r="D23">
        <v>52</v>
      </c>
      <c r="E23" t="s">
        <v>57</v>
      </c>
      <c r="F23" t="s">
        <v>67</v>
      </c>
      <c r="G23" t="s">
        <v>25</v>
      </c>
      <c r="H23" t="s">
        <v>59</v>
      </c>
      <c r="I23" t="s">
        <v>27</v>
      </c>
      <c r="J23" s="1">
        <v>45575</v>
      </c>
      <c r="K23" s="1">
        <v>45597</v>
      </c>
      <c r="L23" t="s">
        <v>28</v>
      </c>
      <c r="M23" s="2">
        <v>93</v>
      </c>
      <c r="O23" t="s">
        <v>29</v>
      </c>
      <c r="P23">
        <v>38</v>
      </c>
      <c r="Q23" t="s">
        <v>30</v>
      </c>
      <c r="R23" t="s">
        <v>31</v>
      </c>
      <c r="S23" t="s">
        <v>119</v>
      </c>
      <c r="T23">
        <v>8</v>
      </c>
      <c r="U23" t="str">
        <f>IF(Teacher_Data[[#This Row],[Completion_Status]]="Completed","Yes","No")</f>
        <v>No</v>
      </c>
      <c r="V23">
        <f>IF(Teacher_Data[[#This Row],[Completion_Status]]="Completed",1,0)</f>
        <v>0</v>
      </c>
      <c r="W23">
        <f>1</f>
        <v>1</v>
      </c>
      <c r="X23">
        <f>Teacher_Data[[#This Row],[End_Date]]-Teacher_Data[[#This Row],[Start_Date]]</f>
        <v>22</v>
      </c>
      <c r="Y23" t="str">
        <f>_xlfn.IFS(Teacher_Data[[#This Row],[Experience_Years]]&lt;=5,"0-5 Years",Teacher_Data[[#This Row],[Experience_Years]]&lt;=10,"5-10 Years",Teacher_Data[[#This Row],[Experience_Years]]&lt;=20,"11-20 Years",TRUE,"20+ Years")</f>
        <v>5-10 Years</v>
      </c>
    </row>
    <row r="24" spans="1:25" x14ac:dyDescent="0.3">
      <c r="A24" t="s">
        <v>120</v>
      </c>
      <c r="B24" t="s">
        <v>121</v>
      </c>
      <c r="C24" t="s">
        <v>22</v>
      </c>
      <c r="D24">
        <v>58</v>
      </c>
      <c r="E24" t="s">
        <v>23</v>
      </c>
      <c r="F24" t="s">
        <v>100</v>
      </c>
      <c r="G24" t="s">
        <v>38</v>
      </c>
      <c r="H24" t="s">
        <v>59</v>
      </c>
      <c r="I24" t="s">
        <v>51</v>
      </c>
      <c r="J24" s="1">
        <v>45302</v>
      </c>
      <c r="K24" s="1">
        <v>45336</v>
      </c>
      <c r="L24" t="s">
        <v>52</v>
      </c>
      <c r="M24" s="2">
        <v>77</v>
      </c>
      <c r="N24">
        <v>65</v>
      </c>
      <c r="O24" t="s">
        <v>53</v>
      </c>
      <c r="P24">
        <v>48</v>
      </c>
      <c r="Q24" t="s">
        <v>68</v>
      </c>
      <c r="R24" t="s">
        <v>72</v>
      </c>
      <c r="S24" t="s">
        <v>122</v>
      </c>
      <c r="T24">
        <v>24</v>
      </c>
      <c r="U24" t="str">
        <f>IF(Teacher_Data[[#This Row],[Completion_Status]]="Completed","Yes","No")</f>
        <v>Yes</v>
      </c>
      <c r="V24">
        <f>IF(Teacher_Data[[#This Row],[Completion_Status]]="Completed",1,0)</f>
        <v>1</v>
      </c>
      <c r="W24">
        <f>1</f>
        <v>1</v>
      </c>
      <c r="X24">
        <f>Teacher_Data[[#This Row],[End_Date]]-Teacher_Data[[#This Row],[Start_Date]]</f>
        <v>34</v>
      </c>
      <c r="Y24" t="str">
        <f>_xlfn.IFS(Teacher_Data[[#This Row],[Experience_Years]]&lt;=5,"0-5 Years",Teacher_Data[[#This Row],[Experience_Years]]&lt;=10,"5-10 Years",Teacher_Data[[#This Row],[Experience_Years]]&lt;=20,"11-20 Years",TRUE,"20+ Years")</f>
        <v>20+ Years</v>
      </c>
    </row>
    <row r="25" spans="1:25" x14ac:dyDescent="0.3">
      <c r="A25" t="s">
        <v>123</v>
      </c>
      <c r="B25" t="s">
        <v>124</v>
      </c>
      <c r="C25" t="s">
        <v>35</v>
      </c>
      <c r="D25">
        <v>23</v>
      </c>
      <c r="E25" t="s">
        <v>23</v>
      </c>
      <c r="F25" t="s">
        <v>37</v>
      </c>
      <c r="G25" t="s">
        <v>58</v>
      </c>
      <c r="H25" t="s">
        <v>59</v>
      </c>
      <c r="I25" t="s">
        <v>27</v>
      </c>
      <c r="J25" s="1">
        <v>45523</v>
      </c>
      <c r="K25" s="1">
        <v>45535</v>
      </c>
      <c r="L25" t="s">
        <v>28</v>
      </c>
      <c r="M25" s="2">
        <v>92</v>
      </c>
      <c r="O25" t="s">
        <v>29</v>
      </c>
      <c r="P25">
        <v>22</v>
      </c>
      <c r="Q25" t="s">
        <v>30</v>
      </c>
      <c r="R25" t="s">
        <v>104</v>
      </c>
      <c r="S25" t="s">
        <v>125</v>
      </c>
      <c r="T25">
        <v>14</v>
      </c>
      <c r="U25" t="str">
        <f>IF(Teacher_Data[[#This Row],[Completion_Status]]="Completed","Yes","No")</f>
        <v>No</v>
      </c>
      <c r="V25">
        <f>IF(Teacher_Data[[#This Row],[Completion_Status]]="Completed",1,0)</f>
        <v>0</v>
      </c>
      <c r="W25">
        <f>1</f>
        <v>1</v>
      </c>
      <c r="X25">
        <f>Teacher_Data[[#This Row],[End_Date]]-Teacher_Data[[#This Row],[Start_Date]]</f>
        <v>12</v>
      </c>
      <c r="Y25" t="str">
        <f>_xlfn.IFS(Teacher_Data[[#This Row],[Experience_Years]]&lt;=5,"0-5 Years",Teacher_Data[[#This Row],[Experience_Years]]&lt;=10,"5-10 Years",Teacher_Data[[#This Row],[Experience_Years]]&lt;=20,"11-20 Years",TRUE,"20+ Years")</f>
        <v>11-20 Years</v>
      </c>
    </row>
    <row r="26" spans="1:25" x14ac:dyDescent="0.3">
      <c r="A26" t="s">
        <v>126</v>
      </c>
      <c r="B26" t="s">
        <v>79</v>
      </c>
      <c r="C26" t="s">
        <v>35</v>
      </c>
      <c r="D26">
        <v>32</v>
      </c>
      <c r="E26" t="s">
        <v>23</v>
      </c>
      <c r="F26" t="s">
        <v>100</v>
      </c>
      <c r="G26" t="s">
        <v>76</v>
      </c>
      <c r="H26" t="s">
        <v>39</v>
      </c>
      <c r="I26" t="s">
        <v>27</v>
      </c>
      <c r="J26" s="1">
        <v>45548</v>
      </c>
      <c r="K26" s="1">
        <v>45584</v>
      </c>
      <c r="L26" t="s">
        <v>28</v>
      </c>
      <c r="M26" s="2">
        <v>69</v>
      </c>
      <c r="O26" t="s">
        <v>29</v>
      </c>
      <c r="P26">
        <v>15</v>
      </c>
      <c r="Q26" t="s">
        <v>61</v>
      </c>
      <c r="R26" t="s">
        <v>104</v>
      </c>
      <c r="S26" t="s">
        <v>127</v>
      </c>
      <c r="T26">
        <v>1</v>
      </c>
      <c r="U26" t="str">
        <f>IF(Teacher_Data[[#This Row],[Completion_Status]]="Completed","Yes","No")</f>
        <v>No</v>
      </c>
      <c r="V26">
        <f>IF(Teacher_Data[[#This Row],[Completion_Status]]="Completed",1,0)</f>
        <v>0</v>
      </c>
      <c r="W26">
        <f>1</f>
        <v>1</v>
      </c>
      <c r="X26">
        <f>Teacher_Data[[#This Row],[End_Date]]-Teacher_Data[[#This Row],[Start_Date]]</f>
        <v>36</v>
      </c>
      <c r="Y26" t="str">
        <f>_xlfn.IFS(Teacher_Data[[#This Row],[Experience_Years]]&lt;=5,"0-5 Years",Teacher_Data[[#This Row],[Experience_Years]]&lt;=10,"5-10 Years",Teacher_Data[[#This Row],[Experience_Years]]&lt;=20,"11-20 Years",TRUE,"20+ Years")</f>
        <v>0-5 Years</v>
      </c>
    </row>
    <row r="27" spans="1:25" x14ac:dyDescent="0.3">
      <c r="A27" t="s">
        <v>128</v>
      </c>
      <c r="B27" t="s">
        <v>118</v>
      </c>
      <c r="C27" t="s">
        <v>35</v>
      </c>
      <c r="D27">
        <v>25</v>
      </c>
      <c r="E27" t="s">
        <v>23</v>
      </c>
      <c r="F27" t="s">
        <v>37</v>
      </c>
      <c r="G27" t="s">
        <v>58</v>
      </c>
      <c r="H27" t="s">
        <v>26</v>
      </c>
      <c r="I27" t="s">
        <v>51</v>
      </c>
      <c r="J27" s="1">
        <v>45573</v>
      </c>
      <c r="K27" s="1">
        <v>45632</v>
      </c>
      <c r="L27" t="s">
        <v>52</v>
      </c>
      <c r="M27" s="2">
        <v>74</v>
      </c>
      <c r="N27">
        <v>75</v>
      </c>
      <c r="O27" t="s">
        <v>53</v>
      </c>
      <c r="P27">
        <v>30</v>
      </c>
      <c r="Q27" t="s">
        <v>40</v>
      </c>
      <c r="R27" t="s">
        <v>104</v>
      </c>
      <c r="S27" t="s">
        <v>129</v>
      </c>
      <c r="T27">
        <v>18</v>
      </c>
      <c r="U27" t="str">
        <f>IF(Teacher_Data[[#This Row],[Completion_Status]]="Completed","Yes","No")</f>
        <v>Yes</v>
      </c>
      <c r="V27">
        <f>IF(Teacher_Data[[#This Row],[Completion_Status]]="Completed",1,0)</f>
        <v>1</v>
      </c>
      <c r="W27">
        <f>1</f>
        <v>1</v>
      </c>
      <c r="X27">
        <f>Teacher_Data[[#This Row],[End_Date]]-Teacher_Data[[#This Row],[Start_Date]]</f>
        <v>59</v>
      </c>
      <c r="Y27" t="str">
        <f>_xlfn.IFS(Teacher_Data[[#This Row],[Experience_Years]]&lt;=5,"0-5 Years",Teacher_Data[[#This Row],[Experience_Years]]&lt;=10,"5-10 Years",Teacher_Data[[#This Row],[Experience_Years]]&lt;=20,"11-20 Years",TRUE,"20+ Years")</f>
        <v>11-20 Years</v>
      </c>
    </row>
    <row r="28" spans="1:25" x14ac:dyDescent="0.3">
      <c r="A28" t="s">
        <v>130</v>
      </c>
      <c r="B28" t="s">
        <v>44</v>
      </c>
      <c r="C28" t="s">
        <v>35</v>
      </c>
      <c r="D28">
        <v>29</v>
      </c>
      <c r="E28" t="s">
        <v>66</v>
      </c>
      <c r="F28" t="s">
        <v>83</v>
      </c>
      <c r="G28" t="s">
        <v>45</v>
      </c>
      <c r="H28" t="s">
        <v>59</v>
      </c>
      <c r="I28" t="s">
        <v>51</v>
      </c>
      <c r="J28" s="1">
        <v>45474</v>
      </c>
      <c r="K28" s="1">
        <v>45500</v>
      </c>
      <c r="L28" t="s">
        <v>28</v>
      </c>
      <c r="M28" s="2">
        <v>63</v>
      </c>
      <c r="O28" t="s">
        <v>29</v>
      </c>
      <c r="P28">
        <v>31</v>
      </c>
      <c r="Q28" t="s">
        <v>30</v>
      </c>
      <c r="R28" t="s">
        <v>31</v>
      </c>
      <c r="S28" t="s">
        <v>131</v>
      </c>
      <c r="T28">
        <v>16</v>
      </c>
      <c r="U28" t="str">
        <f>IF(Teacher_Data[[#This Row],[Completion_Status]]="Completed","Yes","No")</f>
        <v>No</v>
      </c>
      <c r="V28">
        <f>IF(Teacher_Data[[#This Row],[Completion_Status]]="Completed",1,0)</f>
        <v>0</v>
      </c>
      <c r="W28">
        <f>1</f>
        <v>1</v>
      </c>
      <c r="X28">
        <f>Teacher_Data[[#This Row],[End_Date]]-Teacher_Data[[#This Row],[Start_Date]]</f>
        <v>26</v>
      </c>
      <c r="Y28" t="str">
        <f>_xlfn.IFS(Teacher_Data[[#This Row],[Experience_Years]]&lt;=5,"0-5 Years",Teacher_Data[[#This Row],[Experience_Years]]&lt;=10,"5-10 Years",Teacher_Data[[#This Row],[Experience_Years]]&lt;=20,"11-20 Years",TRUE,"20+ Years")</f>
        <v>11-20 Years</v>
      </c>
    </row>
    <row r="29" spans="1:25" x14ac:dyDescent="0.3">
      <c r="A29" t="s">
        <v>132</v>
      </c>
      <c r="B29" t="s">
        <v>133</v>
      </c>
      <c r="C29" t="s">
        <v>35</v>
      </c>
      <c r="D29">
        <v>53</v>
      </c>
      <c r="E29" t="s">
        <v>57</v>
      </c>
      <c r="F29" t="s">
        <v>83</v>
      </c>
      <c r="G29" t="s">
        <v>25</v>
      </c>
      <c r="H29" t="s">
        <v>50</v>
      </c>
      <c r="I29" t="s">
        <v>46</v>
      </c>
      <c r="J29" s="1">
        <v>45366</v>
      </c>
      <c r="K29" s="1">
        <v>45395</v>
      </c>
      <c r="L29" t="s">
        <v>52</v>
      </c>
      <c r="M29" s="2">
        <v>83</v>
      </c>
      <c r="N29">
        <v>99</v>
      </c>
      <c r="O29" t="s">
        <v>53</v>
      </c>
      <c r="P29">
        <v>19</v>
      </c>
      <c r="Q29" t="s">
        <v>40</v>
      </c>
      <c r="R29" t="s">
        <v>72</v>
      </c>
      <c r="S29" t="s">
        <v>134</v>
      </c>
      <c r="T29">
        <v>18</v>
      </c>
      <c r="U29" t="str">
        <f>IF(Teacher_Data[[#This Row],[Completion_Status]]="Completed","Yes","No")</f>
        <v>Yes</v>
      </c>
      <c r="V29">
        <f>IF(Teacher_Data[[#This Row],[Completion_Status]]="Completed",1,0)</f>
        <v>1</v>
      </c>
      <c r="W29">
        <f>1</f>
        <v>1</v>
      </c>
      <c r="X29">
        <f>Teacher_Data[[#This Row],[End_Date]]-Teacher_Data[[#This Row],[Start_Date]]</f>
        <v>29</v>
      </c>
      <c r="Y29" t="str">
        <f>_xlfn.IFS(Teacher_Data[[#This Row],[Experience_Years]]&lt;=5,"0-5 Years",Teacher_Data[[#This Row],[Experience_Years]]&lt;=10,"5-10 Years",Teacher_Data[[#This Row],[Experience_Years]]&lt;=20,"11-20 Years",TRUE,"20+ Years")</f>
        <v>11-20 Years</v>
      </c>
    </row>
    <row r="30" spans="1:25" x14ac:dyDescent="0.3">
      <c r="A30" t="s">
        <v>135</v>
      </c>
      <c r="B30" t="s">
        <v>107</v>
      </c>
      <c r="C30" t="s">
        <v>22</v>
      </c>
      <c r="D30">
        <v>42</v>
      </c>
      <c r="E30" t="s">
        <v>23</v>
      </c>
      <c r="F30" t="s">
        <v>100</v>
      </c>
      <c r="G30" t="s">
        <v>25</v>
      </c>
      <c r="H30" t="s">
        <v>50</v>
      </c>
      <c r="I30" t="s">
        <v>51</v>
      </c>
      <c r="J30" s="1">
        <v>45410</v>
      </c>
      <c r="K30" s="1">
        <v>45445</v>
      </c>
      <c r="L30" t="s">
        <v>60</v>
      </c>
      <c r="M30" s="2">
        <v>9</v>
      </c>
      <c r="O30" t="s">
        <v>29</v>
      </c>
      <c r="P30">
        <v>14</v>
      </c>
      <c r="Q30" t="s">
        <v>68</v>
      </c>
      <c r="R30" t="s">
        <v>41</v>
      </c>
      <c r="S30" t="s">
        <v>136</v>
      </c>
      <c r="T30">
        <v>24</v>
      </c>
      <c r="U30" t="str">
        <f>IF(Teacher_Data[[#This Row],[Completion_Status]]="Completed","Yes","No")</f>
        <v>No</v>
      </c>
      <c r="V30">
        <f>IF(Teacher_Data[[#This Row],[Completion_Status]]="Completed",1,0)</f>
        <v>0</v>
      </c>
      <c r="W30">
        <f>1</f>
        <v>1</v>
      </c>
      <c r="X30">
        <f>Teacher_Data[[#This Row],[End_Date]]-Teacher_Data[[#This Row],[Start_Date]]</f>
        <v>35</v>
      </c>
      <c r="Y30" t="str">
        <f>_xlfn.IFS(Teacher_Data[[#This Row],[Experience_Years]]&lt;=5,"0-5 Years",Teacher_Data[[#This Row],[Experience_Years]]&lt;=10,"5-10 Years",Teacher_Data[[#This Row],[Experience_Years]]&lt;=20,"11-20 Years",TRUE,"20+ Years")</f>
        <v>20+ Years</v>
      </c>
    </row>
    <row r="31" spans="1:25" x14ac:dyDescent="0.3">
      <c r="A31" t="s">
        <v>137</v>
      </c>
      <c r="B31" t="s">
        <v>103</v>
      </c>
      <c r="C31" t="s">
        <v>35</v>
      </c>
      <c r="D31">
        <v>23</v>
      </c>
      <c r="E31" t="s">
        <v>57</v>
      </c>
      <c r="F31" t="s">
        <v>83</v>
      </c>
      <c r="G31" t="s">
        <v>38</v>
      </c>
      <c r="H31" t="s">
        <v>39</v>
      </c>
      <c r="I31" t="s">
        <v>27</v>
      </c>
      <c r="J31" s="1">
        <v>45389</v>
      </c>
      <c r="K31" s="1">
        <v>45408</v>
      </c>
      <c r="L31" t="s">
        <v>52</v>
      </c>
      <c r="M31" s="2">
        <v>84</v>
      </c>
      <c r="N31">
        <v>93</v>
      </c>
      <c r="O31" t="s">
        <v>53</v>
      </c>
      <c r="P31">
        <v>11</v>
      </c>
      <c r="Q31" t="s">
        <v>68</v>
      </c>
      <c r="R31" t="s">
        <v>41</v>
      </c>
      <c r="S31" t="s">
        <v>138</v>
      </c>
      <c r="T31">
        <v>21</v>
      </c>
      <c r="U31" t="str">
        <f>IF(Teacher_Data[[#This Row],[Completion_Status]]="Completed","Yes","No")</f>
        <v>Yes</v>
      </c>
      <c r="V31">
        <f>IF(Teacher_Data[[#This Row],[Completion_Status]]="Completed",1,0)</f>
        <v>1</v>
      </c>
      <c r="W31">
        <f>1</f>
        <v>1</v>
      </c>
      <c r="X31">
        <f>Teacher_Data[[#This Row],[End_Date]]-Teacher_Data[[#This Row],[Start_Date]]</f>
        <v>19</v>
      </c>
      <c r="Y31" t="str">
        <f>_xlfn.IFS(Teacher_Data[[#This Row],[Experience_Years]]&lt;=5,"0-5 Years",Teacher_Data[[#This Row],[Experience_Years]]&lt;=10,"5-10 Years",Teacher_Data[[#This Row],[Experience_Years]]&lt;=20,"11-20 Years",TRUE,"20+ Years")</f>
        <v>20+ Years</v>
      </c>
    </row>
    <row r="32" spans="1:25" x14ac:dyDescent="0.3">
      <c r="A32" t="s">
        <v>139</v>
      </c>
      <c r="B32" t="s">
        <v>140</v>
      </c>
      <c r="C32" t="s">
        <v>22</v>
      </c>
      <c r="D32">
        <v>23</v>
      </c>
      <c r="E32" t="s">
        <v>57</v>
      </c>
      <c r="F32" t="s">
        <v>37</v>
      </c>
      <c r="G32" t="s">
        <v>45</v>
      </c>
      <c r="H32" t="s">
        <v>50</v>
      </c>
      <c r="I32" t="s">
        <v>27</v>
      </c>
      <c r="J32" s="1">
        <v>45412</v>
      </c>
      <c r="K32" s="1">
        <v>45465</v>
      </c>
      <c r="L32" t="s">
        <v>60</v>
      </c>
      <c r="M32" s="2">
        <v>26</v>
      </c>
      <c r="O32" t="s">
        <v>29</v>
      </c>
      <c r="P32">
        <v>33</v>
      </c>
      <c r="Q32" t="s">
        <v>30</v>
      </c>
      <c r="R32" t="s">
        <v>62</v>
      </c>
      <c r="S32" t="s">
        <v>141</v>
      </c>
      <c r="T32">
        <v>28</v>
      </c>
      <c r="U32" t="str">
        <f>IF(Teacher_Data[[#This Row],[Completion_Status]]="Completed","Yes","No")</f>
        <v>No</v>
      </c>
      <c r="V32">
        <f>IF(Teacher_Data[[#This Row],[Completion_Status]]="Completed",1,0)</f>
        <v>0</v>
      </c>
      <c r="W32">
        <f>1</f>
        <v>1</v>
      </c>
      <c r="X32">
        <f>Teacher_Data[[#This Row],[End_Date]]-Teacher_Data[[#This Row],[Start_Date]]</f>
        <v>53</v>
      </c>
      <c r="Y32" t="str">
        <f>_xlfn.IFS(Teacher_Data[[#This Row],[Experience_Years]]&lt;=5,"0-5 Years",Teacher_Data[[#This Row],[Experience_Years]]&lt;=10,"5-10 Years",Teacher_Data[[#This Row],[Experience_Years]]&lt;=20,"11-20 Years",TRUE,"20+ Years")</f>
        <v>20+ Years</v>
      </c>
    </row>
    <row r="33" spans="1:25" x14ac:dyDescent="0.3">
      <c r="A33" t="s">
        <v>142</v>
      </c>
      <c r="B33" t="s">
        <v>21</v>
      </c>
      <c r="C33" t="s">
        <v>35</v>
      </c>
      <c r="D33">
        <v>45</v>
      </c>
      <c r="E33" t="s">
        <v>36</v>
      </c>
      <c r="F33" t="s">
        <v>24</v>
      </c>
      <c r="G33" t="s">
        <v>58</v>
      </c>
      <c r="H33" t="s">
        <v>26</v>
      </c>
      <c r="I33" t="s">
        <v>51</v>
      </c>
      <c r="J33" s="1">
        <v>45343</v>
      </c>
      <c r="K33" s="1">
        <v>45392</v>
      </c>
      <c r="L33" t="s">
        <v>28</v>
      </c>
      <c r="M33" s="2">
        <v>99</v>
      </c>
      <c r="O33" t="s">
        <v>29</v>
      </c>
      <c r="P33">
        <v>50</v>
      </c>
      <c r="Q33" t="s">
        <v>61</v>
      </c>
      <c r="R33" t="s">
        <v>41</v>
      </c>
      <c r="S33" t="s">
        <v>143</v>
      </c>
      <c r="T33">
        <v>14</v>
      </c>
      <c r="U33" t="str">
        <f>IF(Teacher_Data[[#This Row],[Completion_Status]]="Completed","Yes","No")</f>
        <v>No</v>
      </c>
      <c r="V33">
        <f>IF(Teacher_Data[[#This Row],[Completion_Status]]="Completed",1,0)</f>
        <v>0</v>
      </c>
      <c r="W33">
        <f>1</f>
        <v>1</v>
      </c>
      <c r="X33">
        <f>Teacher_Data[[#This Row],[End_Date]]-Teacher_Data[[#This Row],[Start_Date]]</f>
        <v>49</v>
      </c>
      <c r="Y33" t="str">
        <f>_xlfn.IFS(Teacher_Data[[#This Row],[Experience_Years]]&lt;=5,"0-5 Years",Teacher_Data[[#This Row],[Experience_Years]]&lt;=10,"5-10 Years",Teacher_Data[[#This Row],[Experience_Years]]&lt;=20,"11-20 Years",TRUE,"20+ Years")</f>
        <v>11-20 Years</v>
      </c>
    </row>
    <row r="34" spans="1:25" x14ac:dyDescent="0.3">
      <c r="A34" t="s">
        <v>144</v>
      </c>
      <c r="B34" t="s">
        <v>145</v>
      </c>
      <c r="C34" t="s">
        <v>22</v>
      </c>
      <c r="D34">
        <v>51</v>
      </c>
      <c r="E34" t="s">
        <v>66</v>
      </c>
      <c r="F34" t="s">
        <v>67</v>
      </c>
      <c r="G34" t="s">
        <v>58</v>
      </c>
      <c r="H34" t="s">
        <v>39</v>
      </c>
      <c r="I34" t="s">
        <v>46</v>
      </c>
      <c r="J34" s="1">
        <v>45564</v>
      </c>
      <c r="K34" s="1">
        <v>45585</v>
      </c>
      <c r="L34" t="s">
        <v>28</v>
      </c>
      <c r="M34" s="2">
        <v>60</v>
      </c>
      <c r="O34" t="s">
        <v>29</v>
      </c>
      <c r="P34">
        <v>49</v>
      </c>
      <c r="Q34" t="s">
        <v>61</v>
      </c>
      <c r="R34" t="s">
        <v>41</v>
      </c>
      <c r="S34" t="s">
        <v>146</v>
      </c>
      <c r="T34">
        <v>26</v>
      </c>
      <c r="U34" t="str">
        <f>IF(Teacher_Data[[#This Row],[Completion_Status]]="Completed","Yes","No")</f>
        <v>No</v>
      </c>
      <c r="V34">
        <f>IF(Teacher_Data[[#This Row],[Completion_Status]]="Completed",1,0)</f>
        <v>0</v>
      </c>
      <c r="W34">
        <f>1</f>
        <v>1</v>
      </c>
      <c r="X34">
        <f>Teacher_Data[[#This Row],[End_Date]]-Teacher_Data[[#This Row],[Start_Date]]</f>
        <v>21</v>
      </c>
      <c r="Y34" t="str">
        <f>_xlfn.IFS(Teacher_Data[[#This Row],[Experience_Years]]&lt;=5,"0-5 Years",Teacher_Data[[#This Row],[Experience_Years]]&lt;=10,"5-10 Years",Teacher_Data[[#This Row],[Experience_Years]]&lt;=20,"11-20 Years",TRUE,"20+ Years")</f>
        <v>20+ Years</v>
      </c>
    </row>
    <row r="35" spans="1:25" x14ac:dyDescent="0.3">
      <c r="A35" t="s">
        <v>147</v>
      </c>
      <c r="B35" t="s">
        <v>86</v>
      </c>
      <c r="C35" t="s">
        <v>35</v>
      </c>
      <c r="D35">
        <v>27</v>
      </c>
      <c r="E35" t="s">
        <v>57</v>
      </c>
      <c r="F35" t="s">
        <v>83</v>
      </c>
      <c r="G35" t="s">
        <v>38</v>
      </c>
      <c r="H35" t="s">
        <v>26</v>
      </c>
      <c r="I35" t="s">
        <v>51</v>
      </c>
      <c r="J35" s="1">
        <v>45476</v>
      </c>
      <c r="K35" s="1">
        <v>45487</v>
      </c>
      <c r="L35" t="s">
        <v>52</v>
      </c>
      <c r="M35" s="2">
        <v>40</v>
      </c>
      <c r="N35">
        <v>56</v>
      </c>
      <c r="O35" t="s">
        <v>53</v>
      </c>
      <c r="P35">
        <v>35</v>
      </c>
      <c r="Q35" t="s">
        <v>68</v>
      </c>
      <c r="R35" t="s">
        <v>62</v>
      </c>
      <c r="S35" t="s">
        <v>148</v>
      </c>
      <c r="T35">
        <v>21</v>
      </c>
      <c r="U35" t="str">
        <f>IF(Teacher_Data[[#This Row],[Completion_Status]]="Completed","Yes","No")</f>
        <v>Yes</v>
      </c>
      <c r="V35">
        <f>IF(Teacher_Data[[#This Row],[Completion_Status]]="Completed",1,0)</f>
        <v>1</v>
      </c>
      <c r="W35">
        <f>1</f>
        <v>1</v>
      </c>
      <c r="X35">
        <f>Teacher_Data[[#This Row],[End_Date]]-Teacher_Data[[#This Row],[Start_Date]]</f>
        <v>11</v>
      </c>
      <c r="Y35" t="str">
        <f>_xlfn.IFS(Teacher_Data[[#This Row],[Experience_Years]]&lt;=5,"0-5 Years",Teacher_Data[[#This Row],[Experience_Years]]&lt;=10,"5-10 Years",Teacher_Data[[#This Row],[Experience_Years]]&lt;=20,"11-20 Years",TRUE,"20+ Years")</f>
        <v>20+ Years</v>
      </c>
    </row>
    <row r="36" spans="1:25" x14ac:dyDescent="0.3">
      <c r="A36" t="s">
        <v>149</v>
      </c>
      <c r="B36" t="s">
        <v>110</v>
      </c>
      <c r="C36" t="s">
        <v>22</v>
      </c>
      <c r="D36">
        <v>51</v>
      </c>
      <c r="E36" t="s">
        <v>36</v>
      </c>
      <c r="F36" t="s">
        <v>83</v>
      </c>
      <c r="G36" t="s">
        <v>45</v>
      </c>
      <c r="H36" t="s">
        <v>26</v>
      </c>
      <c r="I36" t="s">
        <v>27</v>
      </c>
      <c r="J36" s="1">
        <v>45407</v>
      </c>
      <c r="K36" s="1">
        <v>45416</v>
      </c>
      <c r="L36" t="s">
        <v>52</v>
      </c>
      <c r="M36" s="2">
        <v>68</v>
      </c>
      <c r="N36">
        <v>56</v>
      </c>
      <c r="O36" t="s">
        <v>53</v>
      </c>
      <c r="P36">
        <v>40</v>
      </c>
      <c r="Q36" t="s">
        <v>68</v>
      </c>
      <c r="R36" t="s">
        <v>72</v>
      </c>
      <c r="S36" t="s">
        <v>150</v>
      </c>
      <c r="T36">
        <v>30</v>
      </c>
      <c r="U36" t="str">
        <f>IF(Teacher_Data[[#This Row],[Completion_Status]]="Completed","Yes","No")</f>
        <v>Yes</v>
      </c>
      <c r="V36">
        <f>IF(Teacher_Data[[#This Row],[Completion_Status]]="Completed",1,0)</f>
        <v>1</v>
      </c>
      <c r="W36">
        <f>1</f>
        <v>1</v>
      </c>
      <c r="X36">
        <f>Teacher_Data[[#This Row],[End_Date]]-Teacher_Data[[#This Row],[Start_Date]]</f>
        <v>9</v>
      </c>
      <c r="Y36" t="str">
        <f>_xlfn.IFS(Teacher_Data[[#This Row],[Experience_Years]]&lt;=5,"0-5 Years",Teacher_Data[[#This Row],[Experience_Years]]&lt;=10,"5-10 Years",Teacher_Data[[#This Row],[Experience_Years]]&lt;=20,"11-20 Years",TRUE,"20+ Years")</f>
        <v>20+ Years</v>
      </c>
    </row>
    <row r="37" spans="1:25" x14ac:dyDescent="0.3">
      <c r="A37" t="s">
        <v>151</v>
      </c>
      <c r="B37" t="s">
        <v>115</v>
      </c>
      <c r="C37" t="s">
        <v>35</v>
      </c>
      <c r="D37">
        <v>43</v>
      </c>
      <c r="E37" t="s">
        <v>36</v>
      </c>
      <c r="F37" t="s">
        <v>67</v>
      </c>
      <c r="G37" t="s">
        <v>25</v>
      </c>
      <c r="H37" t="s">
        <v>39</v>
      </c>
      <c r="I37" t="s">
        <v>46</v>
      </c>
      <c r="J37" s="1">
        <v>45328</v>
      </c>
      <c r="K37" s="1">
        <v>45337</v>
      </c>
      <c r="L37" t="s">
        <v>60</v>
      </c>
      <c r="M37" s="2">
        <v>2</v>
      </c>
      <c r="O37" t="s">
        <v>29</v>
      </c>
      <c r="P37">
        <v>52</v>
      </c>
      <c r="Q37" t="s">
        <v>61</v>
      </c>
      <c r="R37" t="s">
        <v>104</v>
      </c>
      <c r="S37" t="s">
        <v>152</v>
      </c>
      <c r="T37">
        <v>16</v>
      </c>
      <c r="U37" t="str">
        <f>IF(Teacher_Data[[#This Row],[Completion_Status]]="Completed","Yes","No")</f>
        <v>No</v>
      </c>
      <c r="V37">
        <f>IF(Teacher_Data[[#This Row],[Completion_Status]]="Completed",1,0)</f>
        <v>0</v>
      </c>
      <c r="W37">
        <f>1</f>
        <v>1</v>
      </c>
      <c r="X37">
        <f>Teacher_Data[[#This Row],[End_Date]]-Teacher_Data[[#This Row],[Start_Date]]</f>
        <v>9</v>
      </c>
      <c r="Y37" t="str">
        <f>_xlfn.IFS(Teacher_Data[[#This Row],[Experience_Years]]&lt;=5,"0-5 Years",Teacher_Data[[#This Row],[Experience_Years]]&lt;=10,"5-10 Years",Teacher_Data[[#This Row],[Experience_Years]]&lt;=20,"11-20 Years",TRUE,"20+ Years")</f>
        <v>11-20 Years</v>
      </c>
    </row>
    <row r="38" spans="1:25" x14ac:dyDescent="0.3">
      <c r="A38" t="s">
        <v>153</v>
      </c>
      <c r="B38" t="s">
        <v>115</v>
      </c>
      <c r="C38" t="s">
        <v>22</v>
      </c>
      <c r="D38">
        <v>48</v>
      </c>
      <c r="E38" t="s">
        <v>66</v>
      </c>
      <c r="F38" t="s">
        <v>24</v>
      </c>
      <c r="G38" t="s">
        <v>25</v>
      </c>
      <c r="H38" t="s">
        <v>26</v>
      </c>
      <c r="I38" t="s">
        <v>46</v>
      </c>
      <c r="J38" s="1">
        <v>45556</v>
      </c>
      <c r="K38" s="1">
        <v>45572</v>
      </c>
      <c r="L38" t="s">
        <v>52</v>
      </c>
      <c r="M38" s="2">
        <v>76</v>
      </c>
      <c r="N38">
        <v>97</v>
      </c>
      <c r="O38" t="s">
        <v>53</v>
      </c>
      <c r="P38">
        <v>29</v>
      </c>
      <c r="Q38" t="s">
        <v>61</v>
      </c>
      <c r="R38" t="s">
        <v>41</v>
      </c>
      <c r="S38" t="s">
        <v>154</v>
      </c>
      <c r="T38">
        <v>8</v>
      </c>
      <c r="U38" t="str">
        <f>IF(Teacher_Data[[#This Row],[Completion_Status]]="Completed","Yes","No")</f>
        <v>Yes</v>
      </c>
      <c r="V38">
        <f>IF(Teacher_Data[[#This Row],[Completion_Status]]="Completed",1,0)</f>
        <v>1</v>
      </c>
      <c r="W38">
        <f>1</f>
        <v>1</v>
      </c>
      <c r="X38">
        <f>Teacher_Data[[#This Row],[End_Date]]-Teacher_Data[[#This Row],[Start_Date]]</f>
        <v>16</v>
      </c>
      <c r="Y38" t="str">
        <f>_xlfn.IFS(Teacher_Data[[#This Row],[Experience_Years]]&lt;=5,"0-5 Years",Teacher_Data[[#This Row],[Experience_Years]]&lt;=10,"5-10 Years",Teacher_Data[[#This Row],[Experience_Years]]&lt;=20,"11-20 Years",TRUE,"20+ Years")</f>
        <v>5-10 Years</v>
      </c>
    </row>
    <row r="39" spans="1:25" x14ac:dyDescent="0.3">
      <c r="A39" t="s">
        <v>155</v>
      </c>
      <c r="B39" t="s">
        <v>156</v>
      </c>
      <c r="C39" t="s">
        <v>35</v>
      </c>
      <c r="D39">
        <v>23</v>
      </c>
      <c r="E39" t="s">
        <v>23</v>
      </c>
      <c r="F39" t="s">
        <v>24</v>
      </c>
      <c r="G39" t="s">
        <v>76</v>
      </c>
      <c r="H39" t="s">
        <v>39</v>
      </c>
      <c r="I39" t="s">
        <v>51</v>
      </c>
      <c r="J39" s="1">
        <v>45410</v>
      </c>
      <c r="K39" s="1">
        <v>45422</v>
      </c>
      <c r="L39" t="s">
        <v>28</v>
      </c>
      <c r="M39" s="2">
        <v>56</v>
      </c>
      <c r="O39" t="s">
        <v>29</v>
      </c>
      <c r="P39">
        <v>18</v>
      </c>
      <c r="Q39" t="s">
        <v>68</v>
      </c>
      <c r="R39" t="s">
        <v>41</v>
      </c>
      <c r="S39" t="s">
        <v>157</v>
      </c>
      <c r="T39">
        <v>15</v>
      </c>
      <c r="U39" t="str">
        <f>IF(Teacher_Data[[#This Row],[Completion_Status]]="Completed","Yes","No")</f>
        <v>No</v>
      </c>
      <c r="V39">
        <f>IF(Teacher_Data[[#This Row],[Completion_Status]]="Completed",1,0)</f>
        <v>0</v>
      </c>
      <c r="W39">
        <f>1</f>
        <v>1</v>
      </c>
      <c r="X39">
        <f>Teacher_Data[[#This Row],[End_Date]]-Teacher_Data[[#This Row],[Start_Date]]</f>
        <v>12</v>
      </c>
      <c r="Y39" t="str">
        <f>_xlfn.IFS(Teacher_Data[[#This Row],[Experience_Years]]&lt;=5,"0-5 Years",Teacher_Data[[#This Row],[Experience_Years]]&lt;=10,"5-10 Years",Teacher_Data[[#This Row],[Experience_Years]]&lt;=20,"11-20 Years",TRUE,"20+ Years")</f>
        <v>11-20 Years</v>
      </c>
    </row>
    <row r="40" spans="1:25" x14ac:dyDescent="0.3">
      <c r="A40" t="s">
        <v>158</v>
      </c>
      <c r="B40" t="s">
        <v>49</v>
      </c>
      <c r="C40" t="s">
        <v>35</v>
      </c>
      <c r="D40">
        <v>60</v>
      </c>
      <c r="E40" t="s">
        <v>36</v>
      </c>
      <c r="F40" t="s">
        <v>100</v>
      </c>
      <c r="G40" t="s">
        <v>45</v>
      </c>
      <c r="H40" t="s">
        <v>26</v>
      </c>
      <c r="I40" t="s">
        <v>51</v>
      </c>
      <c r="J40" s="1">
        <v>45458</v>
      </c>
      <c r="K40" s="1">
        <v>45476</v>
      </c>
      <c r="L40" t="s">
        <v>28</v>
      </c>
      <c r="M40" s="2">
        <v>79</v>
      </c>
      <c r="O40" t="s">
        <v>29</v>
      </c>
      <c r="P40">
        <v>12</v>
      </c>
      <c r="Q40" t="s">
        <v>40</v>
      </c>
      <c r="R40" t="s">
        <v>104</v>
      </c>
      <c r="S40" t="s">
        <v>159</v>
      </c>
      <c r="T40">
        <v>18</v>
      </c>
      <c r="U40" t="str">
        <f>IF(Teacher_Data[[#This Row],[Completion_Status]]="Completed","Yes","No")</f>
        <v>No</v>
      </c>
      <c r="V40">
        <f>IF(Teacher_Data[[#This Row],[Completion_Status]]="Completed",1,0)</f>
        <v>0</v>
      </c>
      <c r="W40">
        <f>1</f>
        <v>1</v>
      </c>
      <c r="X40">
        <f>Teacher_Data[[#This Row],[End_Date]]-Teacher_Data[[#This Row],[Start_Date]]</f>
        <v>18</v>
      </c>
      <c r="Y40" t="str">
        <f>_xlfn.IFS(Teacher_Data[[#This Row],[Experience_Years]]&lt;=5,"0-5 Years",Teacher_Data[[#This Row],[Experience_Years]]&lt;=10,"5-10 Years",Teacher_Data[[#This Row],[Experience_Years]]&lt;=20,"11-20 Years",TRUE,"20+ Years")</f>
        <v>11-20 Years</v>
      </c>
    </row>
    <row r="41" spans="1:25" x14ac:dyDescent="0.3">
      <c r="A41" t="s">
        <v>160</v>
      </c>
      <c r="B41" t="s">
        <v>79</v>
      </c>
      <c r="C41" t="s">
        <v>22</v>
      </c>
      <c r="D41">
        <v>40</v>
      </c>
      <c r="E41" t="s">
        <v>57</v>
      </c>
      <c r="F41" t="s">
        <v>37</v>
      </c>
      <c r="G41" t="s">
        <v>58</v>
      </c>
      <c r="H41" t="s">
        <v>26</v>
      </c>
      <c r="I41" t="s">
        <v>51</v>
      </c>
      <c r="J41" s="1">
        <v>45585</v>
      </c>
      <c r="K41" s="1">
        <v>45604</v>
      </c>
      <c r="L41" t="s">
        <v>52</v>
      </c>
      <c r="M41" s="2">
        <v>66</v>
      </c>
      <c r="N41">
        <v>70</v>
      </c>
      <c r="O41" t="s">
        <v>53</v>
      </c>
      <c r="P41">
        <v>30</v>
      </c>
      <c r="Q41" t="s">
        <v>30</v>
      </c>
      <c r="R41" t="s">
        <v>62</v>
      </c>
      <c r="S41" t="s">
        <v>161</v>
      </c>
      <c r="T41">
        <v>23</v>
      </c>
      <c r="U41" t="str">
        <f>IF(Teacher_Data[[#This Row],[Completion_Status]]="Completed","Yes","No")</f>
        <v>Yes</v>
      </c>
      <c r="V41">
        <f>IF(Teacher_Data[[#This Row],[Completion_Status]]="Completed",1,0)</f>
        <v>1</v>
      </c>
      <c r="W41">
        <f>1</f>
        <v>1</v>
      </c>
      <c r="X41">
        <f>Teacher_Data[[#This Row],[End_Date]]-Teacher_Data[[#This Row],[Start_Date]]</f>
        <v>19</v>
      </c>
      <c r="Y41" t="str">
        <f>_xlfn.IFS(Teacher_Data[[#This Row],[Experience_Years]]&lt;=5,"0-5 Years",Teacher_Data[[#This Row],[Experience_Years]]&lt;=10,"5-10 Years",Teacher_Data[[#This Row],[Experience_Years]]&lt;=20,"11-20 Years",TRUE,"20+ Years")</f>
        <v>20+ Years</v>
      </c>
    </row>
    <row r="42" spans="1:25" x14ac:dyDescent="0.3">
      <c r="A42" t="s">
        <v>162</v>
      </c>
      <c r="B42" t="s">
        <v>124</v>
      </c>
      <c r="C42" t="s">
        <v>35</v>
      </c>
      <c r="D42">
        <v>28</v>
      </c>
      <c r="E42" t="s">
        <v>57</v>
      </c>
      <c r="F42" t="s">
        <v>37</v>
      </c>
      <c r="G42" t="s">
        <v>25</v>
      </c>
      <c r="H42" t="s">
        <v>50</v>
      </c>
      <c r="I42" t="s">
        <v>46</v>
      </c>
      <c r="J42" s="1">
        <v>45292</v>
      </c>
      <c r="K42" s="1">
        <v>45322</v>
      </c>
      <c r="L42" t="s">
        <v>28</v>
      </c>
      <c r="M42" s="2">
        <v>48</v>
      </c>
      <c r="O42" t="s">
        <v>29</v>
      </c>
      <c r="P42">
        <v>34</v>
      </c>
      <c r="Q42" t="s">
        <v>61</v>
      </c>
      <c r="R42" t="s">
        <v>31</v>
      </c>
      <c r="S42" t="s">
        <v>163</v>
      </c>
      <c r="T42">
        <v>8</v>
      </c>
      <c r="U42" t="str">
        <f>IF(Teacher_Data[[#This Row],[Completion_Status]]="Completed","Yes","No")</f>
        <v>No</v>
      </c>
      <c r="V42">
        <f>IF(Teacher_Data[[#This Row],[Completion_Status]]="Completed",1,0)</f>
        <v>0</v>
      </c>
      <c r="W42">
        <f>1</f>
        <v>1</v>
      </c>
      <c r="X42">
        <f>Teacher_Data[[#This Row],[End_Date]]-Teacher_Data[[#This Row],[Start_Date]]</f>
        <v>30</v>
      </c>
      <c r="Y42" t="str">
        <f>_xlfn.IFS(Teacher_Data[[#This Row],[Experience_Years]]&lt;=5,"0-5 Years",Teacher_Data[[#This Row],[Experience_Years]]&lt;=10,"5-10 Years",Teacher_Data[[#This Row],[Experience_Years]]&lt;=20,"11-20 Years",TRUE,"20+ Years")</f>
        <v>5-10 Years</v>
      </c>
    </row>
    <row r="43" spans="1:25" x14ac:dyDescent="0.3">
      <c r="A43" t="s">
        <v>164</v>
      </c>
      <c r="B43" t="s">
        <v>94</v>
      </c>
      <c r="C43" t="s">
        <v>22</v>
      </c>
      <c r="D43">
        <v>46</v>
      </c>
      <c r="E43" t="s">
        <v>36</v>
      </c>
      <c r="F43" t="s">
        <v>24</v>
      </c>
      <c r="G43" t="s">
        <v>58</v>
      </c>
      <c r="H43" t="s">
        <v>39</v>
      </c>
      <c r="I43" t="s">
        <v>46</v>
      </c>
      <c r="J43" s="1">
        <v>45585</v>
      </c>
      <c r="K43" s="1">
        <v>45628</v>
      </c>
      <c r="L43" t="s">
        <v>28</v>
      </c>
      <c r="M43" s="2">
        <v>73</v>
      </c>
      <c r="O43" t="s">
        <v>29</v>
      </c>
      <c r="P43">
        <v>52</v>
      </c>
      <c r="Q43" t="s">
        <v>68</v>
      </c>
      <c r="R43" t="s">
        <v>72</v>
      </c>
      <c r="S43" t="s">
        <v>165</v>
      </c>
      <c r="T43">
        <v>11</v>
      </c>
      <c r="U43" t="str">
        <f>IF(Teacher_Data[[#This Row],[Completion_Status]]="Completed","Yes","No")</f>
        <v>No</v>
      </c>
      <c r="V43">
        <f>IF(Teacher_Data[[#This Row],[Completion_Status]]="Completed",1,0)</f>
        <v>0</v>
      </c>
      <c r="W43">
        <f>1</f>
        <v>1</v>
      </c>
      <c r="X43">
        <f>Teacher_Data[[#This Row],[End_Date]]-Teacher_Data[[#This Row],[Start_Date]]</f>
        <v>43</v>
      </c>
      <c r="Y43" t="str">
        <f>_xlfn.IFS(Teacher_Data[[#This Row],[Experience_Years]]&lt;=5,"0-5 Years",Teacher_Data[[#This Row],[Experience_Years]]&lt;=10,"5-10 Years",Teacher_Data[[#This Row],[Experience_Years]]&lt;=20,"11-20 Years",TRUE,"20+ Years")</f>
        <v>11-20 Years</v>
      </c>
    </row>
    <row r="44" spans="1:25" x14ac:dyDescent="0.3">
      <c r="A44" t="s">
        <v>166</v>
      </c>
      <c r="B44" t="s">
        <v>167</v>
      </c>
      <c r="C44" t="s">
        <v>22</v>
      </c>
      <c r="D44">
        <v>58</v>
      </c>
      <c r="E44" t="s">
        <v>23</v>
      </c>
      <c r="F44" t="s">
        <v>83</v>
      </c>
      <c r="G44" t="s">
        <v>58</v>
      </c>
      <c r="H44" t="s">
        <v>59</v>
      </c>
      <c r="I44" t="s">
        <v>46</v>
      </c>
      <c r="J44" s="1">
        <v>45571</v>
      </c>
      <c r="K44" s="1">
        <v>45611</v>
      </c>
      <c r="L44" t="s">
        <v>60</v>
      </c>
      <c r="M44" s="2">
        <v>33</v>
      </c>
      <c r="O44" t="s">
        <v>29</v>
      </c>
      <c r="P44">
        <v>21</v>
      </c>
      <c r="Q44" t="s">
        <v>40</v>
      </c>
      <c r="R44" t="s">
        <v>41</v>
      </c>
      <c r="S44" t="s">
        <v>168</v>
      </c>
      <c r="T44">
        <v>28</v>
      </c>
      <c r="U44" t="str">
        <f>IF(Teacher_Data[[#This Row],[Completion_Status]]="Completed","Yes","No")</f>
        <v>No</v>
      </c>
      <c r="V44">
        <f>IF(Teacher_Data[[#This Row],[Completion_Status]]="Completed",1,0)</f>
        <v>0</v>
      </c>
      <c r="W44">
        <f>1</f>
        <v>1</v>
      </c>
      <c r="X44">
        <f>Teacher_Data[[#This Row],[End_Date]]-Teacher_Data[[#This Row],[Start_Date]]</f>
        <v>40</v>
      </c>
      <c r="Y44" t="str">
        <f>_xlfn.IFS(Teacher_Data[[#This Row],[Experience_Years]]&lt;=5,"0-5 Years",Teacher_Data[[#This Row],[Experience_Years]]&lt;=10,"5-10 Years",Teacher_Data[[#This Row],[Experience_Years]]&lt;=20,"11-20 Years",TRUE,"20+ Years")</f>
        <v>20+ Years</v>
      </c>
    </row>
    <row r="45" spans="1:25" x14ac:dyDescent="0.3">
      <c r="A45" t="s">
        <v>169</v>
      </c>
      <c r="B45" t="s">
        <v>44</v>
      </c>
      <c r="C45" t="s">
        <v>35</v>
      </c>
      <c r="D45">
        <v>46</v>
      </c>
      <c r="E45" t="s">
        <v>36</v>
      </c>
      <c r="F45" t="s">
        <v>24</v>
      </c>
      <c r="G45" t="s">
        <v>45</v>
      </c>
      <c r="H45" t="s">
        <v>59</v>
      </c>
      <c r="I45" t="s">
        <v>27</v>
      </c>
      <c r="J45" s="1">
        <v>45394</v>
      </c>
      <c r="K45" s="1">
        <v>45436</v>
      </c>
      <c r="L45" t="s">
        <v>60</v>
      </c>
      <c r="M45" s="2">
        <v>18</v>
      </c>
      <c r="O45" t="s">
        <v>29</v>
      </c>
      <c r="P45">
        <v>15</v>
      </c>
      <c r="Q45" t="s">
        <v>68</v>
      </c>
      <c r="R45" t="s">
        <v>41</v>
      </c>
      <c r="S45" t="s">
        <v>170</v>
      </c>
      <c r="T45">
        <v>31</v>
      </c>
      <c r="U45" t="str">
        <f>IF(Teacher_Data[[#This Row],[Completion_Status]]="Completed","Yes","No")</f>
        <v>No</v>
      </c>
      <c r="V45">
        <f>IF(Teacher_Data[[#This Row],[Completion_Status]]="Completed",1,0)</f>
        <v>0</v>
      </c>
      <c r="W45">
        <f>1</f>
        <v>1</v>
      </c>
      <c r="X45">
        <f>Teacher_Data[[#This Row],[End_Date]]-Teacher_Data[[#This Row],[Start_Date]]</f>
        <v>42</v>
      </c>
      <c r="Y45" t="str">
        <f>_xlfn.IFS(Teacher_Data[[#This Row],[Experience_Years]]&lt;=5,"0-5 Years",Teacher_Data[[#This Row],[Experience_Years]]&lt;=10,"5-10 Years",Teacher_Data[[#This Row],[Experience_Years]]&lt;=20,"11-20 Years",TRUE,"20+ Years")</f>
        <v>20+ Years</v>
      </c>
    </row>
    <row r="46" spans="1:25" x14ac:dyDescent="0.3">
      <c r="A46" t="s">
        <v>171</v>
      </c>
      <c r="B46" t="s">
        <v>156</v>
      </c>
      <c r="C46" t="s">
        <v>35</v>
      </c>
      <c r="D46">
        <v>23</v>
      </c>
      <c r="E46" t="s">
        <v>57</v>
      </c>
      <c r="F46" t="s">
        <v>100</v>
      </c>
      <c r="G46" t="s">
        <v>25</v>
      </c>
      <c r="H46" t="s">
        <v>39</v>
      </c>
      <c r="I46" t="s">
        <v>46</v>
      </c>
      <c r="J46" s="1">
        <v>45319</v>
      </c>
      <c r="K46" s="1">
        <v>45349</v>
      </c>
      <c r="L46" t="s">
        <v>60</v>
      </c>
      <c r="M46" s="2">
        <v>40</v>
      </c>
      <c r="O46" t="s">
        <v>29</v>
      </c>
      <c r="P46">
        <v>7</v>
      </c>
      <c r="Q46" t="s">
        <v>68</v>
      </c>
      <c r="R46" t="s">
        <v>41</v>
      </c>
      <c r="S46" t="s">
        <v>172</v>
      </c>
      <c r="T46">
        <v>13</v>
      </c>
      <c r="U46" t="str">
        <f>IF(Teacher_Data[[#This Row],[Completion_Status]]="Completed","Yes","No")</f>
        <v>No</v>
      </c>
      <c r="V46">
        <f>IF(Teacher_Data[[#This Row],[Completion_Status]]="Completed",1,0)</f>
        <v>0</v>
      </c>
      <c r="W46">
        <f>1</f>
        <v>1</v>
      </c>
      <c r="X46">
        <f>Teacher_Data[[#This Row],[End_Date]]-Teacher_Data[[#This Row],[Start_Date]]</f>
        <v>30</v>
      </c>
      <c r="Y46" t="str">
        <f>_xlfn.IFS(Teacher_Data[[#This Row],[Experience_Years]]&lt;=5,"0-5 Years",Teacher_Data[[#This Row],[Experience_Years]]&lt;=10,"5-10 Years",Teacher_Data[[#This Row],[Experience_Years]]&lt;=20,"11-20 Years",TRUE,"20+ Years")</f>
        <v>11-20 Years</v>
      </c>
    </row>
    <row r="47" spans="1:25" x14ac:dyDescent="0.3">
      <c r="A47" t="s">
        <v>173</v>
      </c>
      <c r="B47" t="s">
        <v>65</v>
      </c>
      <c r="C47" t="s">
        <v>35</v>
      </c>
      <c r="D47">
        <v>44</v>
      </c>
      <c r="E47" t="s">
        <v>66</v>
      </c>
      <c r="F47" t="s">
        <v>37</v>
      </c>
      <c r="G47" t="s">
        <v>25</v>
      </c>
      <c r="H47" t="s">
        <v>59</v>
      </c>
      <c r="I47" t="s">
        <v>27</v>
      </c>
      <c r="J47" s="1">
        <v>45591</v>
      </c>
      <c r="K47" s="1">
        <v>45614</v>
      </c>
      <c r="L47" t="s">
        <v>28</v>
      </c>
      <c r="M47" s="2">
        <v>77</v>
      </c>
      <c r="O47" t="s">
        <v>29</v>
      </c>
      <c r="P47">
        <v>41</v>
      </c>
      <c r="Q47" t="s">
        <v>61</v>
      </c>
      <c r="R47" t="s">
        <v>62</v>
      </c>
      <c r="S47" t="s">
        <v>174</v>
      </c>
      <c r="T47">
        <v>26</v>
      </c>
      <c r="U47" t="str">
        <f>IF(Teacher_Data[[#This Row],[Completion_Status]]="Completed","Yes","No")</f>
        <v>No</v>
      </c>
      <c r="V47">
        <f>IF(Teacher_Data[[#This Row],[Completion_Status]]="Completed",1,0)</f>
        <v>0</v>
      </c>
      <c r="W47">
        <f>1</f>
        <v>1</v>
      </c>
      <c r="X47">
        <f>Teacher_Data[[#This Row],[End_Date]]-Teacher_Data[[#This Row],[Start_Date]]</f>
        <v>23</v>
      </c>
      <c r="Y47" t="str">
        <f>_xlfn.IFS(Teacher_Data[[#This Row],[Experience_Years]]&lt;=5,"0-5 Years",Teacher_Data[[#This Row],[Experience_Years]]&lt;=10,"5-10 Years",Teacher_Data[[#This Row],[Experience_Years]]&lt;=20,"11-20 Years",TRUE,"20+ Years")</f>
        <v>20+ Years</v>
      </c>
    </row>
    <row r="48" spans="1:25" x14ac:dyDescent="0.3">
      <c r="A48" t="s">
        <v>175</v>
      </c>
      <c r="B48" t="s">
        <v>176</v>
      </c>
      <c r="C48" t="s">
        <v>22</v>
      </c>
      <c r="D48">
        <v>34</v>
      </c>
      <c r="E48" t="s">
        <v>57</v>
      </c>
      <c r="F48" t="s">
        <v>83</v>
      </c>
      <c r="G48" t="s">
        <v>25</v>
      </c>
      <c r="H48" t="s">
        <v>59</v>
      </c>
      <c r="I48" t="s">
        <v>46</v>
      </c>
      <c r="J48" s="1">
        <v>45423</v>
      </c>
      <c r="K48" s="1">
        <v>45458</v>
      </c>
      <c r="L48" t="s">
        <v>60</v>
      </c>
      <c r="M48" s="2">
        <v>21</v>
      </c>
      <c r="O48" t="s">
        <v>29</v>
      </c>
      <c r="P48">
        <v>18</v>
      </c>
      <c r="Q48" t="s">
        <v>40</v>
      </c>
      <c r="R48" t="s">
        <v>62</v>
      </c>
      <c r="S48" t="s">
        <v>177</v>
      </c>
      <c r="T48">
        <v>34</v>
      </c>
      <c r="U48" t="str">
        <f>IF(Teacher_Data[[#This Row],[Completion_Status]]="Completed","Yes","No")</f>
        <v>No</v>
      </c>
      <c r="V48">
        <f>IF(Teacher_Data[[#This Row],[Completion_Status]]="Completed",1,0)</f>
        <v>0</v>
      </c>
      <c r="W48">
        <f>1</f>
        <v>1</v>
      </c>
      <c r="X48">
        <f>Teacher_Data[[#This Row],[End_Date]]-Teacher_Data[[#This Row],[Start_Date]]</f>
        <v>35</v>
      </c>
      <c r="Y48" t="str">
        <f>_xlfn.IFS(Teacher_Data[[#This Row],[Experience_Years]]&lt;=5,"0-5 Years",Teacher_Data[[#This Row],[Experience_Years]]&lt;=10,"5-10 Years",Teacher_Data[[#This Row],[Experience_Years]]&lt;=20,"11-20 Years",TRUE,"20+ Years")</f>
        <v>20+ Years</v>
      </c>
    </row>
    <row r="49" spans="1:25" x14ac:dyDescent="0.3">
      <c r="A49" t="s">
        <v>178</v>
      </c>
      <c r="B49" t="s">
        <v>179</v>
      </c>
      <c r="C49" t="s">
        <v>22</v>
      </c>
      <c r="D49">
        <v>32</v>
      </c>
      <c r="E49" t="s">
        <v>23</v>
      </c>
      <c r="F49" t="s">
        <v>67</v>
      </c>
      <c r="G49" t="s">
        <v>38</v>
      </c>
      <c r="H49" t="s">
        <v>39</v>
      </c>
      <c r="I49" t="s">
        <v>27</v>
      </c>
      <c r="J49" s="1">
        <v>45453</v>
      </c>
      <c r="K49" s="1">
        <v>45479</v>
      </c>
      <c r="L49" t="s">
        <v>28</v>
      </c>
      <c r="M49" s="2">
        <v>91</v>
      </c>
      <c r="O49" t="s">
        <v>29</v>
      </c>
      <c r="P49">
        <v>23</v>
      </c>
      <c r="Q49" t="s">
        <v>40</v>
      </c>
      <c r="R49" t="s">
        <v>72</v>
      </c>
      <c r="S49" t="s">
        <v>180</v>
      </c>
      <c r="T49">
        <v>20</v>
      </c>
      <c r="U49" t="str">
        <f>IF(Teacher_Data[[#This Row],[Completion_Status]]="Completed","Yes","No")</f>
        <v>No</v>
      </c>
      <c r="V49">
        <f>IF(Teacher_Data[[#This Row],[Completion_Status]]="Completed",1,0)</f>
        <v>0</v>
      </c>
      <c r="W49">
        <f>1</f>
        <v>1</v>
      </c>
      <c r="X49">
        <f>Teacher_Data[[#This Row],[End_Date]]-Teacher_Data[[#This Row],[Start_Date]]</f>
        <v>26</v>
      </c>
      <c r="Y49" t="str">
        <f>_xlfn.IFS(Teacher_Data[[#This Row],[Experience_Years]]&lt;=5,"0-5 Years",Teacher_Data[[#This Row],[Experience_Years]]&lt;=10,"5-10 Years",Teacher_Data[[#This Row],[Experience_Years]]&lt;=20,"11-20 Years",TRUE,"20+ Years")</f>
        <v>11-20 Years</v>
      </c>
    </row>
    <row r="50" spans="1:25" x14ac:dyDescent="0.3">
      <c r="A50" t="s">
        <v>181</v>
      </c>
      <c r="B50" t="s">
        <v>182</v>
      </c>
      <c r="C50" t="s">
        <v>35</v>
      </c>
      <c r="D50">
        <v>22</v>
      </c>
      <c r="E50" t="s">
        <v>36</v>
      </c>
      <c r="F50" t="s">
        <v>37</v>
      </c>
      <c r="G50" t="s">
        <v>25</v>
      </c>
      <c r="H50" t="s">
        <v>26</v>
      </c>
      <c r="I50" t="s">
        <v>46</v>
      </c>
      <c r="J50" s="1">
        <v>45299</v>
      </c>
      <c r="K50" s="1">
        <v>45305</v>
      </c>
      <c r="L50" t="s">
        <v>60</v>
      </c>
      <c r="M50" s="2">
        <v>26</v>
      </c>
      <c r="O50" t="s">
        <v>29</v>
      </c>
      <c r="P50">
        <v>19</v>
      </c>
      <c r="Q50" t="s">
        <v>40</v>
      </c>
      <c r="R50" t="s">
        <v>104</v>
      </c>
      <c r="S50" t="s">
        <v>183</v>
      </c>
      <c r="T50">
        <v>2</v>
      </c>
      <c r="U50" t="str">
        <f>IF(Teacher_Data[[#This Row],[Completion_Status]]="Completed","Yes","No")</f>
        <v>No</v>
      </c>
      <c r="V50">
        <f>IF(Teacher_Data[[#This Row],[Completion_Status]]="Completed",1,0)</f>
        <v>0</v>
      </c>
      <c r="W50">
        <f>1</f>
        <v>1</v>
      </c>
      <c r="X50">
        <f>Teacher_Data[[#This Row],[End_Date]]-Teacher_Data[[#This Row],[Start_Date]]</f>
        <v>6</v>
      </c>
      <c r="Y50" t="str">
        <f>_xlfn.IFS(Teacher_Data[[#This Row],[Experience_Years]]&lt;=5,"0-5 Years",Teacher_Data[[#This Row],[Experience_Years]]&lt;=10,"5-10 Years",Teacher_Data[[#This Row],[Experience_Years]]&lt;=20,"11-20 Years",TRUE,"20+ Years")</f>
        <v>0-5 Years</v>
      </c>
    </row>
    <row r="51" spans="1:25" x14ac:dyDescent="0.3">
      <c r="A51" t="s">
        <v>184</v>
      </c>
      <c r="B51" t="s">
        <v>185</v>
      </c>
      <c r="C51" t="s">
        <v>35</v>
      </c>
      <c r="D51">
        <v>49</v>
      </c>
      <c r="E51" t="s">
        <v>66</v>
      </c>
      <c r="F51" t="s">
        <v>100</v>
      </c>
      <c r="G51" t="s">
        <v>45</v>
      </c>
      <c r="H51" t="s">
        <v>50</v>
      </c>
      <c r="I51" t="s">
        <v>27</v>
      </c>
      <c r="J51" s="1">
        <v>45485</v>
      </c>
      <c r="K51" s="1">
        <v>45536</v>
      </c>
      <c r="L51" t="s">
        <v>52</v>
      </c>
      <c r="M51" s="2">
        <v>99</v>
      </c>
      <c r="N51">
        <v>83</v>
      </c>
      <c r="O51" t="s">
        <v>53</v>
      </c>
      <c r="P51">
        <v>52</v>
      </c>
      <c r="Q51" t="s">
        <v>68</v>
      </c>
      <c r="R51" t="s">
        <v>31</v>
      </c>
      <c r="S51" t="s">
        <v>186</v>
      </c>
      <c r="T51">
        <v>4</v>
      </c>
      <c r="U51" t="str">
        <f>IF(Teacher_Data[[#This Row],[Completion_Status]]="Completed","Yes","No")</f>
        <v>Yes</v>
      </c>
      <c r="V51">
        <f>IF(Teacher_Data[[#This Row],[Completion_Status]]="Completed",1,0)</f>
        <v>1</v>
      </c>
      <c r="W51">
        <f>1</f>
        <v>1</v>
      </c>
      <c r="X51">
        <f>Teacher_Data[[#This Row],[End_Date]]-Teacher_Data[[#This Row],[Start_Date]]</f>
        <v>51</v>
      </c>
      <c r="Y51" t="str">
        <f>_xlfn.IFS(Teacher_Data[[#This Row],[Experience_Years]]&lt;=5,"0-5 Years",Teacher_Data[[#This Row],[Experience_Years]]&lt;=10,"5-10 Years",Teacher_Data[[#This Row],[Experience_Years]]&lt;=20,"11-20 Years",TRUE,"20+ Years")</f>
        <v>0-5 Years</v>
      </c>
    </row>
    <row r="52" spans="1:25" x14ac:dyDescent="0.3">
      <c r="A52" t="s">
        <v>187</v>
      </c>
      <c r="B52" t="s">
        <v>188</v>
      </c>
      <c r="C52" t="s">
        <v>35</v>
      </c>
      <c r="D52">
        <v>59</v>
      </c>
      <c r="E52" t="s">
        <v>36</v>
      </c>
      <c r="F52" t="s">
        <v>67</v>
      </c>
      <c r="G52" t="s">
        <v>58</v>
      </c>
      <c r="H52" t="s">
        <v>59</v>
      </c>
      <c r="I52" t="s">
        <v>27</v>
      </c>
      <c r="J52" s="1">
        <v>45545</v>
      </c>
      <c r="K52" s="1">
        <v>45568</v>
      </c>
      <c r="L52" t="s">
        <v>52</v>
      </c>
      <c r="M52" s="2">
        <v>57</v>
      </c>
      <c r="N52">
        <v>85</v>
      </c>
      <c r="O52" t="s">
        <v>53</v>
      </c>
      <c r="P52">
        <v>42</v>
      </c>
      <c r="Q52" t="s">
        <v>68</v>
      </c>
      <c r="R52" t="s">
        <v>31</v>
      </c>
      <c r="S52" t="s">
        <v>189</v>
      </c>
      <c r="T52">
        <v>20</v>
      </c>
      <c r="U52" t="str">
        <f>IF(Teacher_Data[[#This Row],[Completion_Status]]="Completed","Yes","No")</f>
        <v>Yes</v>
      </c>
      <c r="V52">
        <f>IF(Teacher_Data[[#This Row],[Completion_Status]]="Completed",1,0)</f>
        <v>1</v>
      </c>
      <c r="W52">
        <f>1</f>
        <v>1</v>
      </c>
      <c r="X52">
        <f>Teacher_Data[[#This Row],[End_Date]]-Teacher_Data[[#This Row],[Start_Date]]</f>
        <v>23</v>
      </c>
      <c r="Y52" t="str">
        <f>_xlfn.IFS(Teacher_Data[[#This Row],[Experience_Years]]&lt;=5,"0-5 Years",Teacher_Data[[#This Row],[Experience_Years]]&lt;=10,"5-10 Years",Teacher_Data[[#This Row],[Experience_Years]]&lt;=20,"11-20 Years",TRUE,"20+ Years")</f>
        <v>11-20 Years</v>
      </c>
    </row>
    <row r="53" spans="1:25" x14ac:dyDescent="0.3">
      <c r="A53" t="s">
        <v>190</v>
      </c>
      <c r="B53" t="s">
        <v>191</v>
      </c>
      <c r="C53" t="s">
        <v>22</v>
      </c>
      <c r="D53">
        <v>43</v>
      </c>
      <c r="E53" t="s">
        <v>57</v>
      </c>
      <c r="F53" t="s">
        <v>37</v>
      </c>
      <c r="G53" t="s">
        <v>58</v>
      </c>
      <c r="H53" t="s">
        <v>59</v>
      </c>
      <c r="I53" t="s">
        <v>27</v>
      </c>
      <c r="J53" s="1">
        <v>45371</v>
      </c>
      <c r="K53" s="1">
        <v>45377</v>
      </c>
      <c r="L53" t="s">
        <v>28</v>
      </c>
      <c r="M53" s="2">
        <v>47</v>
      </c>
      <c r="O53" t="s">
        <v>29</v>
      </c>
      <c r="P53">
        <v>10</v>
      </c>
      <c r="Q53" t="s">
        <v>30</v>
      </c>
      <c r="R53" t="s">
        <v>62</v>
      </c>
      <c r="S53" t="s">
        <v>192</v>
      </c>
      <c r="T53">
        <v>9</v>
      </c>
      <c r="U53" t="str">
        <f>IF(Teacher_Data[[#This Row],[Completion_Status]]="Completed","Yes","No")</f>
        <v>No</v>
      </c>
      <c r="V53">
        <f>IF(Teacher_Data[[#This Row],[Completion_Status]]="Completed",1,0)</f>
        <v>0</v>
      </c>
      <c r="W53">
        <f>1</f>
        <v>1</v>
      </c>
      <c r="X53">
        <f>Teacher_Data[[#This Row],[End_Date]]-Teacher_Data[[#This Row],[Start_Date]]</f>
        <v>6</v>
      </c>
      <c r="Y53" t="str">
        <f>_xlfn.IFS(Teacher_Data[[#This Row],[Experience_Years]]&lt;=5,"0-5 Years",Teacher_Data[[#This Row],[Experience_Years]]&lt;=10,"5-10 Years",Teacher_Data[[#This Row],[Experience_Years]]&lt;=20,"11-20 Years",TRUE,"20+ Years")</f>
        <v>5-10 Years</v>
      </c>
    </row>
    <row r="54" spans="1:25" x14ac:dyDescent="0.3">
      <c r="A54" t="s">
        <v>193</v>
      </c>
      <c r="B54" t="s">
        <v>194</v>
      </c>
      <c r="C54" t="s">
        <v>35</v>
      </c>
      <c r="D54">
        <v>56</v>
      </c>
      <c r="E54" t="s">
        <v>66</v>
      </c>
      <c r="F54" t="s">
        <v>37</v>
      </c>
      <c r="G54" t="s">
        <v>25</v>
      </c>
      <c r="H54" t="s">
        <v>39</v>
      </c>
      <c r="I54" t="s">
        <v>51</v>
      </c>
      <c r="J54" s="1">
        <v>45401</v>
      </c>
      <c r="K54" s="1">
        <v>45420</v>
      </c>
      <c r="L54" t="s">
        <v>28</v>
      </c>
      <c r="M54" s="2">
        <v>66</v>
      </c>
      <c r="O54" t="s">
        <v>29</v>
      </c>
      <c r="P54">
        <v>20</v>
      </c>
      <c r="Q54" t="s">
        <v>61</v>
      </c>
      <c r="R54" t="s">
        <v>41</v>
      </c>
      <c r="S54" t="s">
        <v>195</v>
      </c>
      <c r="T54">
        <v>24</v>
      </c>
      <c r="U54" t="str">
        <f>IF(Teacher_Data[[#This Row],[Completion_Status]]="Completed","Yes","No")</f>
        <v>No</v>
      </c>
      <c r="V54">
        <f>IF(Teacher_Data[[#This Row],[Completion_Status]]="Completed",1,0)</f>
        <v>0</v>
      </c>
      <c r="W54">
        <f>1</f>
        <v>1</v>
      </c>
      <c r="X54">
        <f>Teacher_Data[[#This Row],[End_Date]]-Teacher_Data[[#This Row],[Start_Date]]</f>
        <v>19</v>
      </c>
      <c r="Y54" t="str">
        <f>_xlfn.IFS(Teacher_Data[[#This Row],[Experience_Years]]&lt;=5,"0-5 Years",Teacher_Data[[#This Row],[Experience_Years]]&lt;=10,"5-10 Years",Teacher_Data[[#This Row],[Experience_Years]]&lt;=20,"11-20 Years",TRUE,"20+ Years")</f>
        <v>20+ Years</v>
      </c>
    </row>
    <row r="55" spans="1:25" x14ac:dyDescent="0.3">
      <c r="A55" t="s">
        <v>196</v>
      </c>
      <c r="B55" t="s">
        <v>197</v>
      </c>
      <c r="C55" t="s">
        <v>22</v>
      </c>
      <c r="D55">
        <v>43</v>
      </c>
      <c r="E55" t="s">
        <v>36</v>
      </c>
      <c r="F55" t="s">
        <v>100</v>
      </c>
      <c r="G55" t="s">
        <v>25</v>
      </c>
      <c r="H55" t="s">
        <v>39</v>
      </c>
      <c r="I55" t="s">
        <v>27</v>
      </c>
      <c r="J55" s="1">
        <v>45490</v>
      </c>
      <c r="K55" s="1">
        <v>45520</v>
      </c>
      <c r="L55" t="s">
        <v>60</v>
      </c>
      <c r="M55" s="2">
        <v>36</v>
      </c>
      <c r="O55" t="s">
        <v>29</v>
      </c>
      <c r="P55">
        <v>11</v>
      </c>
      <c r="Q55" t="s">
        <v>68</v>
      </c>
      <c r="R55" t="s">
        <v>72</v>
      </c>
      <c r="S55" t="s">
        <v>198</v>
      </c>
      <c r="T55">
        <v>31</v>
      </c>
      <c r="U55" t="str">
        <f>IF(Teacher_Data[[#This Row],[Completion_Status]]="Completed","Yes","No")</f>
        <v>No</v>
      </c>
      <c r="V55">
        <f>IF(Teacher_Data[[#This Row],[Completion_Status]]="Completed",1,0)</f>
        <v>0</v>
      </c>
      <c r="W55">
        <f>1</f>
        <v>1</v>
      </c>
      <c r="X55">
        <f>Teacher_Data[[#This Row],[End_Date]]-Teacher_Data[[#This Row],[Start_Date]]</f>
        <v>30</v>
      </c>
      <c r="Y55" t="str">
        <f>_xlfn.IFS(Teacher_Data[[#This Row],[Experience_Years]]&lt;=5,"0-5 Years",Teacher_Data[[#This Row],[Experience_Years]]&lt;=10,"5-10 Years",Teacher_Data[[#This Row],[Experience_Years]]&lt;=20,"11-20 Years",TRUE,"20+ Years")</f>
        <v>20+ Years</v>
      </c>
    </row>
    <row r="56" spans="1:25" x14ac:dyDescent="0.3">
      <c r="A56" t="s">
        <v>199</v>
      </c>
      <c r="B56" t="s">
        <v>194</v>
      </c>
      <c r="C56" t="s">
        <v>22</v>
      </c>
      <c r="D56">
        <v>24</v>
      </c>
      <c r="E56" t="s">
        <v>23</v>
      </c>
      <c r="F56" t="s">
        <v>24</v>
      </c>
      <c r="G56" t="s">
        <v>45</v>
      </c>
      <c r="H56" t="s">
        <v>39</v>
      </c>
      <c r="I56" t="s">
        <v>27</v>
      </c>
      <c r="J56" s="1">
        <v>45511</v>
      </c>
      <c r="K56" s="1">
        <v>45568</v>
      </c>
      <c r="L56" t="s">
        <v>52</v>
      </c>
      <c r="M56" s="2">
        <v>97</v>
      </c>
      <c r="N56">
        <v>71</v>
      </c>
      <c r="O56" t="s">
        <v>53</v>
      </c>
      <c r="P56">
        <v>59</v>
      </c>
      <c r="Q56" t="s">
        <v>30</v>
      </c>
      <c r="R56" t="s">
        <v>62</v>
      </c>
      <c r="S56" t="s">
        <v>200</v>
      </c>
      <c r="T56">
        <v>22</v>
      </c>
      <c r="U56" t="str">
        <f>IF(Teacher_Data[[#This Row],[Completion_Status]]="Completed","Yes","No")</f>
        <v>Yes</v>
      </c>
      <c r="V56">
        <f>IF(Teacher_Data[[#This Row],[Completion_Status]]="Completed",1,0)</f>
        <v>1</v>
      </c>
      <c r="W56">
        <f>1</f>
        <v>1</v>
      </c>
      <c r="X56">
        <f>Teacher_Data[[#This Row],[End_Date]]-Teacher_Data[[#This Row],[Start_Date]]</f>
        <v>57</v>
      </c>
      <c r="Y56" t="str">
        <f>_xlfn.IFS(Teacher_Data[[#This Row],[Experience_Years]]&lt;=5,"0-5 Years",Teacher_Data[[#This Row],[Experience_Years]]&lt;=10,"5-10 Years",Teacher_Data[[#This Row],[Experience_Years]]&lt;=20,"11-20 Years",TRUE,"20+ Years")</f>
        <v>20+ Years</v>
      </c>
    </row>
    <row r="57" spans="1:25" x14ac:dyDescent="0.3">
      <c r="A57" t="s">
        <v>201</v>
      </c>
      <c r="B57" t="s">
        <v>133</v>
      </c>
      <c r="C57" t="s">
        <v>35</v>
      </c>
      <c r="D57">
        <v>55</v>
      </c>
      <c r="E57" t="s">
        <v>23</v>
      </c>
      <c r="F57" t="s">
        <v>100</v>
      </c>
      <c r="G57" t="s">
        <v>45</v>
      </c>
      <c r="H57" t="s">
        <v>26</v>
      </c>
      <c r="I57" t="s">
        <v>27</v>
      </c>
      <c r="J57" s="1">
        <v>45494</v>
      </c>
      <c r="K57" s="1">
        <v>45516</v>
      </c>
      <c r="L57" t="s">
        <v>60</v>
      </c>
      <c r="M57" s="2">
        <v>38</v>
      </c>
      <c r="O57" t="s">
        <v>29</v>
      </c>
      <c r="P57">
        <v>42</v>
      </c>
      <c r="Q57" t="s">
        <v>40</v>
      </c>
      <c r="R57" t="s">
        <v>62</v>
      </c>
      <c r="S57" t="s">
        <v>202</v>
      </c>
      <c r="T57">
        <v>10</v>
      </c>
      <c r="U57" t="str">
        <f>IF(Teacher_Data[[#This Row],[Completion_Status]]="Completed","Yes","No")</f>
        <v>No</v>
      </c>
      <c r="V57">
        <f>IF(Teacher_Data[[#This Row],[Completion_Status]]="Completed",1,0)</f>
        <v>0</v>
      </c>
      <c r="W57">
        <f>1</f>
        <v>1</v>
      </c>
      <c r="X57">
        <f>Teacher_Data[[#This Row],[End_Date]]-Teacher_Data[[#This Row],[Start_Date]]</f>
        <v>22</v>
      </c>
      <c r="Y57" t="str">
        <f>_xlfn.IFS(Teacher_Data[[#This Row],[Experience_Years]]&lt;=5,"0-5 Years",Teacher_Data[[#This Row],[Experience_Years]]&lt;=10,"5-10 Years",Teacher_Data[[#This Row],[Experience_Years]]&lt;=20,"11-20 Years",TRUE,"20+ Years")</f>
        <v>5-10 Years</v>
      </c>
    </row>
    <row r="58" spans="1:25" x14ac:dyDescent="0.3">
      <c r="A58" t="s">
        <v>203</v>
      </c>
      <c r="B58" t="s">
        <v>140</v>
      </c>
      <c r="C58" t="s">
        <v>22</v>
      </c>
      <c r="D58">
        <v>57</v>
      </c>
      <c r="E58" t="s">
        <v>36</v>
      </c>
      <c r="F58" t="s">
        <v>83</v>
      </c>
      <c r="G58" t="s">
        <v>25</v>
      </c>
      <c r="H58" t="s">
        <v>39</v>
      </c>
      <c r="I58" t="s">
        <v>46</v>
      </c>
      <c r="J58" s="1">
        <v>45413</v>
      </c>
      <c r="K58" s="1">
        <v>45423</v>
      </c>
      <c r="L58" t="s">
        <v>60</v>
      </c>
      <c r="M58" s="2">
        <v>31</v>
      </c>
      <c r="O58" t="s">
        <v>29</v>
      </c>
      <c r="P58">
        <v>52</v>
      </c>
      <c r="Q58" t="s">
        <v>30</v>
      </c>
      <c r="R58" t="s">
        <v>41</v>
      </c>
      <c r="S58" t="s">
        <v>204</v>
      </c>
      <c r="T58">
        <v>6</v>
      </c>
      <c r="U58" t="str">
        <f>IF(Teacher_Data[[#This Row],[Completion_Status]]="Completed","Yes","No")</f>
        <v>No</v>
      </c>
      <c r="V58">
        <f>IF(Teacher_Data[[#This Row],[Completion_Status]]="Completed",1,0)</f>
        <v>0</v>
      </c>
      <c r="W58">
        <f>1</f>
        <v>1</v>
      </c>
      <c r="X58">
        <f>Teacher_Data[[#This Row],[End_Date]]-Teacher_Data[[#This Row],[Start_Date]]</f>
        <v>10</v>
      </c>
      <c r="Y58" t="str">
        <f>_xlfn.IFS(Teacher_Data[[#This Row],[Experience_Years]]&lt;=5,"0-5 Years",Teacher_Data[[#This Row],[Experience_Years]]&lt;=10,"5-10 Years",Teacher_Data[[#This Row],[Experience_Years]]&lt;=20,"11-20 Years",TRUE,"20+ Years")</f>
        <v>5-10 Years</v>
      </c>
    </row>
    <row r="59" spans="1:25" x14ac:dyDescent="0.3">
      <c r="A59" t="s">
        <v>205</v>
      </c>
      <c r="B59" t="s">
        <v>188</v>
      </c>
      <c r="C59" t="s">
        <v>35</v>
      </c>
      <c r="D59">
        <v>58</v>
      </c>
      <c r="E59" t="s">
        <v>66</v>
      </c>
      <c r="F59" t="s">
        <v>24</v>
      </c>
      <c r="G59" t="s">
        <v>76</v>
      </c>
      <c r="H59" t="s">
        <v>26</v>
      </c>
      <c r="I59" t="s">
        <v>46</v>
      </c>
      <c r="J59" s="1">
        <v>45577</v>
      </c>
      <c r="K59" s="1">
        <v>45586</v>
      </c>
      <c r="L59" t="s">
        <v>28</v>
      </c>
      <c r="M59" s="2">
        <v>40</v>
      </c>
      <c r="O59" t="s">
        <v>29</v>
      </c>
      <c r="P59">
        <v>38</v>
      </c>
      <c r="Q59" t="s">
        <v>68</v>
      </c>
      <c r="R59" t="s">
        <v>31</v>
      </c>
      <c r="S59" t="s">
        <v>206</v>
      </c>
      <c r="T59">
        <v>34</v>
      </c>
      <c r="U59" t="str">
        <f>IF(Teacher_Data[[#This Row],[Completion_Status]]="Completed","Yes","No")</f>
        <v>No</v>
      </c>
      <c r="V59">
        <f>IF(Teacher_Data[[#This Row],[Completion_Status]]="Completed",1,0)</f>
        <v>0</v>
      </c>
      <c r="W59">
        <f>1</f>
        <v>1</v>
      </c>
      <c r="X59">
        <f>Teacher_Data[[#This Row],[End_Date]]-Teacher_Data[[#This Row],[Start_Date]]</f>
        <v>9</v>
      </c>
      <c r="Y59" t="str">
        <f>_xlfn.IFS(Teacher_Data[[#This Row],[Experience_Years]]&lt;=5,"0-5 Years",Teacher_Data[[#This Row],[Experience_Years]]&lt;=10,"5-10 Years",Teacher_Data[[#This Row],[Experience_Years]]&lt;=20,"11-20 Years",TRUE,"20+ Years")</f>
        <v>20+ Years</v>
      </c>
    </row>
    <row r="60" spans="1:25" x14ac:dyDescent="0.3">
      <c r="A60" t="s">
        <v>207</v>
      </c>
      <c r="B60" t="s">
        <v>56</v>
      </c>
      <c r="C60" t="s">
        <v>35</v>
      </c>
      <c r="D60">
        <v>29</v>
      </c>
      <c r="E60" t="s">
        <v>36</v>
      </c>
      <c r="F60" t="s">
        <v>24</v>
      </c>
      <c r="G60" t="s">
        <v>38</v>
      </c>
      <c r="H60" t="s">
        <v>26</v>
      </c>
      <c r="I60" t="s">
        <v>27</v>
      </c>
      <c r="J60" s="1">
        <v>45588</v>
      </c>
      <c r="K60" s="1">
        <v>45639</v>
      </c>
      <c r="L60" t="s">
        <v>28</v>
      </c>
      <c r="M60" s="2">
        <v>72</v>
      </c>
      <c r="O60" t="s">
        <v>29</v>
      </c>
      <c r="P60">
        <v>59</v>
      </c>
      <c r="Q60" t="s">
        <v>40</v>
      </c>
      <c r="R60" t="s">
        <v>104</v>
      </c>
      <c r="S60" t="s">
        <v>208</v>
      </c>
      <c r="T60">
        <v>5</v>
      </c>
      <c r="U60" t="str">
        <f>IF(Teacher_Data[[#This Row],[Completion_Status]]="Completed","Yes","No")</f>
        <v>No</v>
      </c>
      <c r="V60">
        <f>IF(Teacher_Data[[#This Row],[Completion_Status]]="Completed",1,0)</f>
        <v>0</v>
      </c>
      <c r="W60">
        <f>1</f>
        <v>1</v>
      </c>
      <c r="X60">
        <f>Teacher_Data[[#This Row],[End_Date]]-Teacher_Data[[#This Row],[Start_Date]]</f>
        <v>51</v>
      </c>
      <c r="Y60" t="str">
        <f>_xlfn.IFS(Teacher_Data[[#This Row],[Experience_Years]]&lt;=5,"0-5 Years",Teacher_Data[[#This Row],[Experience_Years]]&lt;=10,"5-10 Years",Teacher_Data[[#This Row],[Experience_Years]]&lt;=20,"11-20 Years",TRUE,"20+ Years")</f>
        <v>0-5 Years</v>
      </c>
    </row>
    <row r="61" spans="1:25" x14ac:dyDescent="0.3">
      <c r="A61" t="s">
        <v>209</v>
      </c>
      <c r="B61" t="s">
        <v>124</v>
      </c>
      <c r="C61" t="s">
        <v>22</v>
      </c>
      <c r="D61">
        <v>30</v>
      </c>
      <c r="E61" t="s">
        <v>66</v>
      </c>
      <c r="F61" t="s">
        <v>100</v>
      </c>
      <c r="G61" t="s">
        <v>38</v>
      </c>
      <c r="H61" t="s">
        <v>26</v>
      </c>
      <c r="I61" t="s">
        <v>46</v>
      </c>
      <c r="J61" s="1">
        <v>45334</v>
      </c>
      <c r="K61" s="1">
        <v>45368</v>
      </c>
      <c r="L61" t="s">
        <v>28</v>
      </c>
      <c r="M61" s="2">
        <v>96</v>
      </c>
      <c r="O61" t="s">
        <v>29</v>
      </c>
      <c r="P61">
        <v>21</v>
      </c>
      <c r="Q61" t="s">
        <v>61</v>
      </c>
      <c r="R61" t="s">
        <v>41</v>
      </c>
      <c r="S61" t="s">
        <v>210</v>
      </c>
      <c r="T61">
        <v>3</v>
      </c>
      <c r="U61" t="str">
        <f>IF(Teacher_Data[[#This Row],[Completion_Status]]="Completed","Yes","No")</f>
        <v>No</v>
      </c>
      <c r="V61">
        <f>IF(Teacher_Data[[#This Row],[Completion_Status]]="Completed",1,0)</f>
        <v>0</v>
      </c>
      <c r="W61">
        <f>1</f>
        <v>1</v>
      </c>
      <c r="X61">
        <f>Teacher_Data[[#This Row],[End_Date]]-Teacher_Data[[#This Row],[Start_Date]]</f>
        <v>34</v>
      </c>
      <c r="Y61" t="str">
        <f>_xlfn.IFS(Teacher_Data[[#This Row],[Experience_Years]]&lt;=5,"0-5 Years",Teacher_Data[[#This Row],[Experience_Years]]&lt;=10,"5-10 Years",Teacher_Data[[#This Row],[Experience_Years]]&lt;=20,"11-20 Years",TRUE,"20+ Years")</f>
        <v>0-5 Years</v>
      </c>
    </row>
    <row r="62" spans="1:25" x14ac:dyDescent="0.3">
      <c r="A62" t="s">
        <v>211</v>
      </c>
      <c r="B62" t="s">
        <v>82</v>
      </c>
      <c r="C62" t="s">
        <v>35</v>
      </c>
      <c r="D62">
        <v>56</v>
      </c>
      <c r="E62" t="s">
        <v>66</v>
      </c>
      <c r="F62" t="s">
        <v>100</v>
      </c>
      <c r="G62" t="s">
        <v>25</v>
      </c>
      <c r="H62" t="s">
        <v>39</v>
      </c>
      <c r="I62" t="s">
        <v>46</v>
      </c>
      <c r="J62" s="1">
        <v>45549</v>
      </c>
      <c r="K62" s="1">
        <v>45596</v>
      </c>
      <c r="L62" t="s">
        <v>52</v>
      </c>
      <c r="M62" s="2">
        <v>62</v>
      </c>
      <c r="N62">
        <v>83</v>
      </c>
      <c r="O62" t="s">
        <v>53</v>
      </c>
      <c r="P62">
        <v>23</v>
      </c>
      <c r="Q62" t="s">
        <v>30</v>
      </c>
      <c r="R62" t="s">
        <v>62</v>
      </c>
      <c r="S62" t="s">
        <v>212</v>
      </c>
      <c r="T62">
        <v>26</v>
      </c>
      <c r="U62" t="str">
        <f>IF(Teacher_Data[[#This Row],[Completion_Status]]="Completed","Yes","No")</f>
        <v>Yes</v>
      </c>
      <c r="V62">
        <f>IF(Teacher_Data[[#This Row],[Completion_Status]]="Completed",1,0)</f>
        <v>1</v>
      </c>
      <c r="W62">
        <f>1</f>
        <v>1</v>
      </c>
      <c r="X62">
        <f>Teacher_Data[[#This Row],[End_Date]]-Teacher_Data[[#This Row],[Start_Date]]</f>
        <v>47</v>
      </c>
      <c r="Y62" t="str">
        <f>_xlfn.IFS(Teacher_Data[[#This Row],[Experience_Years]]&lt;=5,"0-5 Years",Teacher_Data[[#This Row],[Experience_Years]]&lt;=10,"5-10 Years",Teacher_Data[[#This Row],[Experience_Years]]&lt;=20,"11-20 Years",TRUE,"20+ Years")</f>
        <v>20+ Years</v>
      </c>
    </row>
    <row r="63" spans="1:25" x14ac:dyDescent="0.3">
      <c r="A63" t="s">
        <v>213</v>
      </c>
      <c r="B63" t="s">
        <v>214</v>
      </c>
      <c r="C63" t="s">
        <v>22</v>
      </c>
      <c r="D63">
        <v>42</v>
      </c>
      <c r="E63" t="s">
        <v>23</v>
      </c>
      <c r="F63" t="s">
        <v>37</v>
      </c>
      <c r="G63" t="s">
        <v>45</v>
      </c>
      <c r="H63" t="s">
        <v>26</v>
      </c>
      <c r="I63" t="s">
        <v>51</v>
      </c>
      <c r="J63" s="1">
        <v>45494</v>
      </c>
      <c r="K63" s="1">
        <v>45547</v>
      </c>
      <c r="L63" t="s">
        <v>28</v>
      </c>
      <c r="M63" s="2">
        <v>60</v>
      </c>
      <c r="O63" t="s">
        <v>29</v>
      </c>
      <c r="P63">
        <v>12</v>
      </c>
      <c r="Q63" t="s">
        <v>40</v>
      </c>
      <c r="R63" t="s">
        <v>41</v>
      </c>
      <c r="S63" t="s">
        <v>215</v>
      </c>
      <c r="T63">
        <v>10</v>
      </c>
      <c r="U63" t="str">
        <f>IF(Teacher_Data[[#This Row],[Completion_Status]]="Completed","Yes","No")</f>
        <v>No</v>
      </c>
      <c r="V63">
        <f>IF(Teacher_Data[[#This Row],[Completion_Status]]="Completed",1,0)</f>
        <v>0</v>
      </c>
      <c r="W63">
        <f>1</f>
        <v>1</v>
      </c>
      <c r="X63">
        <f>Teacher_Data[[#This Row],[End_Date]]-Teacher_Data[[#This Row],[Start_Date]]</f>
        <v>53</v>
      </c>
      <c r="Y63" t="str">
        <f>_xlfn.IFS(Teacher_Data[[#This Row],[Experience_Years]]&lt;=5,"0-5 Years",Teacher_Data[[#This Row],[Experience_Years]]&lt;=10,"5-10 Years",Teacher_Data[[#This Row],[Experience_Years]]&lt;=20,"11-20 Years",TRUE,"20+ Years")</f>
        <v>5-10 Years</v>
      </c>
    </row>
    <row r="64" spans="1:25" x14ac:dyDescent="0.3">
      <c r="A64" t="s">
        <v>216</v>
      </c>
      <c r="B64" t="s">
        <v>56</v>
      </c>
      <c r="C64" t="s">
        <v>35</v>
      </c>
      <c r="D64">
        <v>33</v>
      </c>
      <c r="E64" t="s">
        <v>36</v>
      </c>
      <c r="F64" t="s">
        <v>100</v>
      </c>
      <c r="G64" t="s">
        <v>38</v>
      </c>
      <c r="H64" t="s">
        <v>50</v>
      </c>
      <c r="I64" t="s">
        <v>51</v>
      </c>
      <c r="J64" s="1">
        <v>45328</v>
      </c>
      <c r="K64" s="1">
        <v>45382</v>
      </c>
      <c r="L64" t="s">
        <v>60</v>
      </c>
      <c r="M64" s="2">
        <v>36</v>
      </c>
      <c r="O64" t="s">
        <v>29</v>
      </c>
      <c r="P64">
        <v>31</v>
      </c>
      <c r="Q64" t="s">
        <v>61</v>
      </c>
      <c r="R64" t="s">
        <v>62</v>
      </c>
      <c r="S64" t="s">
        <v>217</v>
      </c>
      <c r="T64">
        <v>31</v>
      </c>
      <c r="U64" t="str">
        <f>IF(Teacher_Data[[#This Row],[Completion_Status]]="Completed","Yes","No")</f>
        <v>No</v>
      </c>
      <c r="V64">
        <f>IF(Teacher_Data[[#This Row],[Completion_Status]]="Completed",1,0)</f>
        <v>0</v>
      </c>
      <c r="W64">
        <f>1</f>
        <v>1</v>
      </c>
      <c r="X64">
        <f>Teacher_Data[[#This Row],[End_Date]]-Teacher_Data[[#This Row],[Start_Date]]</f>
        <v>54</v>
      </c>
      <c r="Y64" t="str">
        <f>_xlfn.IFS(Teacher_Data[[#This Row],[Experience_Years]]&lt;=5,"0-5 Years",Teacher_Data[[#This Row],[Experience_Years]]&lt;=10,"5-10 Years",Teacher_Data[[#This Row],[Experience_Years]]&lt;=20,"11-20 Years",TRUE,"20+ Years")</f>
        <v>20+ Years</v>
      </c>
    </row>
    <row r="65" spans="1:25" x14ac:dyDescent="0.3">
      <c r="A65" t="s">
        <v>218</v>
      </c>
      <c r="B65" t="s">
        <v>214</v>
      </c>
      <c r="C65" t="s">
        <v>22</v>
      </c>
      <c r="D65">
        <v>50</v>
      </c>
      <c r="E65" t="s">
        <v>23</v>
      </c>
      <c r="F65" t="s">
        <v>83</v>
      </c>
      <c r="G65" t="s">
        <v>76</v>
      </c>
      <c r="H65" t="s">
        <v>39</v>
      </c>
      <c r="I65" t="s">
        <v>27</v>
      </c>
      <c r="J65" s="1">
        <v>45413</v>
      </c>
      <c r="K65" s="1">
        <v>45446</v>
      </c>
      <c r="L65" t="s">
        <v>60</v>
      </c>
      <c r="M65" s="2">
        <v>20</v>
      </c>
      <c r="O65" t="s">
        <v>29</v>
      </c>
      <c r="P65">
        <v>54</v>
      </c>
      <c r="Q65" t="s">
        <v>68</v>
      </c>
      <c r="R65" t="s">
        <v>104</v>
      </c>
      <c r="S65" t="s">
        <v>219</v>
      </c>
      <c r="T65">
        <v>15</v>
      </c>
      <c r="U65" t="str">
        <f>IF(Teacher_Data[[#This Row],[Completion_Status]]="Completed","Yes","No")</f>
        <v>No</v>
      </c>
      <c r="V65">
        <f>IF(Teacher_Data[[#This Row],[Completion_Status]]="Completed",1,0)</f>
        <v>0</v>
      </c>
      <c r="W65">
        <f>1</f>
        <v>1</v>
      </c>
      <c r="X65">
        <f>Teacher_Data[[#This Row],[End_Date]]-Teacher_Data[[#This Row],[Start_Date]]</f>
        <v>33</v>
      </c>
      <c r="Y65" t="str">
        <f>_xlfn.IFS(Teacher_Data[[#This Row],[Experience_Years]]&lt;=5,"0-5 Years",Teacher_Data[[#This Row],[Experience_Years]]&lt;=10,"5-10 Years",Teacher_Data[[#This Row],[Experience_Years]]&lt;=20,"11-20 Years",TRUE,"20+ Years")</f>
        <v>11-20 Years</v>
      </c>
    </row>
    <row r="66" spans="1:25" x14ac:dyDescent="0.3">
      <c r="A66" t="s">
        <v>220</v>
      </c>
      <c r="B66" t="s">
        <v>121</v>
      </c>
      <c r="C66" t="s">
        <v>35</v>
      </c>
      <c r="D66">
        <v>23</v>
      </c>
      <c r="E66" t="s">
        <v>57</v>
      </c>
      <c r="F66" t="s">
        <v>100</v>
      </c>
      <c r="G66" t="s">
        <v>45</v>
      </c>
      <c r="H66" t="s">
        <v>39</v>
      </c>
      <c r="I66" t="s">
        <v>27</v>
      </c>
      <c r="J66" s="1">
        <v>45410</v>
      </c>
      <c r="K66" s="1">
        <v>45463</v>
      </c>
      <c r="L66" t="s">
        <v>28</v>
      </c>
      <c r="M66" s="2">
        <v>96</v>
      </c>
      <c r="O66" t="s">
        <v>29</v>
      </c>
      <c r="P66">
        <v>52</v>
      </c>
      <c r="Q66" t="s">
        <v>30</v>
      </c>
      <c r="R66" t="s">
        <v>31</v>
      </c>
      <c r="S66" t="s">
        <v>221</v>
      </c>
      <c r="T66">
        <v>1</v>
      </c>
      <c r="U66" t="str">
        <f>IF(Teacher_Data[[#This Row],[Completion_Status]]="Completed","Yes","No")</f>
        <v>No</v>
      </c>
      <c r="V66">
        <f>IF(Teacher_Data[[#This Row],[Completion_Status]]="Completed",1,0)</f>
        <v>0</v>
      </c>
      <c r="W66">
        <f>1</f>
        <v>1</v>
      </c>
      <c r="X66">
        <f>Teacher_Data[[#This Row],[End_Date]]-Teacher_Data[[#This Row],[Start_Date]]</f>
        <v>53</v>
      </c>
      <c r="Y66" t="str">
        <f>_xlfn.IFS(Teacher_Data[[#This Row],[Experience_Years]]&lt;=5,"0-5 Years",Teacher_Data[[#This Row],[Experience_Years]]&lt;=10,"5-10 Years",Teacher_Data[[#This Row],[Experience_Years]]&lt;=20,"11-20 Years",TRUE,"20+ Years")</f>
        <v>0-5 Years</v>
      </c>
    </row>
    <row r="67" spans="1:25" x14ac:dyDescent="0.3">
      <c r="A67" t="s">
        <v>222</v>
      </c>
      <c r="B67" t="s">
        <v>124</v>
      </c>
      <c r="C67" t="s">
        <v>22</v>
      </c>
      <c r="D67">
        <v>26</v>
      </c>
      <c r="E67" t="s">
        <v>23</v>
      </c>
      <c r="F67" t="s">
        <v>67</v>
      </c>
      <c r="G67" t="s">
        <v>76</v>
      </c>
      <c r="H67" t="s">
        <v>26</v>
      </c>
      <c r="I67" t="s">
        <v>51</v>
      </c>
      <c r="J67" s="1">
        <v>45395</v>
      </c>
      <c r="K67" s="1">
        <v>45427</v>
      </c>
      <c r="L67" t="s">
        <v>60</v>
      </c>
      <c r="M67" s="2">
        <v>40</v>
      </c>
      <c r="O67" t="s">
        <v>29</v>
      </c>
      <c r="P67">
        <v>6</v>
      </c>
      <c r="Q67" t="s">
        <v>30</v>
      </c>
      <c r="R67" t="s">
        <v>62</v>
      </c>
      <c r="S67" t="s">
        <v>223</v>
      </c>
      <c r="T67">
        <v>2</v>
      </c>
      <c r="U67" t="str">
        <f>IF(Teacher_Data[[#This Row],[Completion_Status]]="Completed","Yes","No")</f>
        <v>No</v>
      </c>
      <c r="V67">
        <f>IF(Teacher_Data[[#This Row],[Completion_Status]]="Completed",1,0)</f>
        <v>0</v>
      </c>
      <c r="W67">
        <f>1</f>
        <v>1</v>
      </c>
      <c r="X67">
        <f>Teacher_Data[[#This Row],[End_Date]]-Teacher_Data[[#This Row],[Start_Date]]</f>
        <v>32</v>
      </c>
      <c r="Y67" t="str">
        <f>_xlfn.IFS(Teacher_Data[[#This Row],[Experience_Years]]&lt;=5,"0-5 Years",Teacher_Data[[#This Row],[Experience_Years]]&lt;=10,"5-10 Years",Teacher_Data[[#This Row],[Experience_Years]]&lt;=20,"11-20 Years",TRUE,"20+ Years")</f>
        <v>0-5 Years</v>
      </c>
    </row>
    <row r="68" spans="1:25" x14ac:dyDescent="0.3">
      <c r="A68" t="s">
        <v>224</v>
      </c>
      <c r="B68" t="s">
        <v>75</v>
      </c>
      <c r="C68" t="s">
        <v>35</v>
      </c>
      <c r="D68">
        <v>56</v>
      </c>
      <c r="E68" t="s">
        <v>66</v>
      </c>
      <c r="F68" t="s">
        <v>37</v>
      </c>
      <c r="G68" t="s">
        <v>58</v>
      </c>
      <c r="H68" t="s">
        <v>39</v>
      </c>
      <c r="I68" t="s">
        <v>51</v>
      </c>
      <c r="J68" s="1">
        <v>45465</v>
      </c>
      <c r="K68" s="1">
        <v>45508</v>
      </c>
      <c r="L68" t="s">
        <v>60</v>
      </c>
      <c r="M68" s="2">
        <v>2</v>
      </c>
      <c r="O68" t="s">
        <v>29</v>
      </c>
      <c r="P68">
        <v>52</v>
      </c>
      <c r="Q68" t="s">
        <v>61</v>
      </c>
      <c r="R68" t="s">
        <v>104</v>
      </c>
      <c r="S68" t="s">
        <v>225</v>
      </c>
      <c r="T68">
        <v>22</v>
      </c>
      <c r="U68" t="str">
        <f>IF(Teacher_Data[[#This Row],[Completion_Status]]="Completed","Yes","No")</f>
        <v>No</v>
      </c>
      <c r="V68">
        <f>IF(Teacher_Data[[#This Row],[Completion_Status]]="Completed",1,0)</f>
        <v>0</v>
      </c>
      <c r="W68">
        <f>1</f>
        <v>1</v>
      </c>
      <c r="X68">
        <f>Teacher_Data[[#This Row],[End_Date]]-Teacher_Data[[#This Row],[Start_Date]]</f>
        <v>43</v>
      </c>
      <c r="Y68" t="str">
        <f>_xlfn.IFS(Teacher_Data[[#This Row],[Experience_Years]]&lt;=5,"0-5 Years",Teacher_Data[[#This Row],[Experience_Years]]&lt;=10,"5-10 Years",Teacher_Data[[#This Row],[Experience_Years]]&lt;=20,"11-20 Years",TRUE,"20+ Years")</f>
        <v>20+ Years</v>
      </c>
    </row>
    <row r="69" spans="1:25" x14ac:dyDescent="0.3">
      <c r="A69" t="s">
        <v>226</v>
      </c>
      <c r="B69" t="s">
        <v>99</v>
      </c>
      <c r="C69" t="s">
        <v>35</v>
      </c>
      <c r="D69">
        <v>54</v>
      </c>
      <c r="E69" t="s">
        <v>23</v>
      </c>
      <c r="F69" t="s">
        <v>37</v>
      </c>
      <c r="G69" t="s">
        <v>38</v>
      </c>
      <c r="H69" t="s">
        <v>59</v>
      </c>
      <c r="I69" t="s">
        <v>46</v>
      </c>
      <c r="J69" s="1">
        <v>45365</v>
      </c>
      <c r="K69" s="1">
        <v>45370</v>
      </c>
      <c r="L69" t="s">
        <v>28</v>
      </c>
      <c r="M69" s="2">
        <v>45</v>
      </c>
      <c r="O69" t="s">
        <v>29</v>
      </c>
      <c r="P69">
        <v>54</v>
      </c>
      <c r="Q69" t="s">
        <v>68</v>
      </c>
      <c r="R69" t="s">
        <v>72</v>
      </c>
      <c r="S69" t="s">
        <v>227</v>
      </c>
      <c r="T69">
        <v>7</v>
      </c>
      <c r="U69" t="str">
        <f>IF(Teacher_Data[[#This Row],[Completion_Status]]="Completed","Yes","No")</f>
        <v>No</v>
      </c>
      <c r="V69">
        <f>IF(Teacher_Data[[#This Row],[Completion_Status]]="Completed",1,0)</f>
        <v>0</v>
      </c>
      <c r="W69">
        <f>1</f>
        <v>1</v>
      </c>
      <c r="X69">
        <f>Teacher_Data[[#This Row],[End_Date]]-Teacher_Data[[#This Row],[Start_Date]]</f>
        <v>5</v>
      </c>
      <c r="Y69" t="str">
        <f>_xlfn.IFS(Teacher_Data[[#This Row],[Experience_Years]]&lt;=5,"0-5 Years",Teacher_Data[[#This Row],[Experience_Years]]&lt;=10,"5-10 Years",Teacher_Data[[#This Row],[Experience_Years]]&lt;=20,"11-20 Years",TRUE,"20+ Years")</f>
        <v>5-10 Years</v>
      </c>
    </row>
    <row r="70" spans="1:25" x14ac:dyDescent="0.3">
      <c r="A70" t="s">
        <v>228</v>
      </c>
      <c r="B70" t="s">
        <v>229</v>
      </c>
      <c r="C70" t="s">
        <v>35</v>
      </c>
      <c r="D70">
        <v>48</v>
      </c>
      <c r="E70" t="s">
        <v>57</v>
      </c>
      <c r="F70" t="s">
        <v>100</v>
      </c>
      <c r="G70" t="s">
        <v>76</v>
      </c>
      <c r="H70" t="s">
        <v>59</v>
      </c>
      <c r="I70" t="s">
        <v>51</v>
      </c>
      <c r="J70" s="1">
        <v>45444</v>
      </c>
      <c r="K70" s="1">
        <v>45470</v>
      </c>
      <c r="L70" t="s">
        <v>28</v>
      </c>
      <c r="M70" s="2">
        <v>64</v>
      </c>
      <c r="O70" t="s">
        <v>29</v>
      </c>
      <c r="P70">
        <v>47</v>
      </c>
      <c r="Q70" t="s">
        <v>68</v>
      </c>
      <c r="R70" t="s">
        <v>72</v>
      </c>
      <c r="S70" t="s">
        <v>230</v>
      </c>
      <c r="T70">
        <v>33</v>
      </c>
      <c r="U70" t="str">
        <f>IF(Teacher_Data[[#This Row],[Completion_Status]]="Completed","Yes","No")</f>
        <v>No</v>
      </c>
      <c r="V70">
        <f>IF(Teacher_Data[[#This Row],[Completion_Status]]="Completed",1,0)</f>
        <v>0</v>
      </c>
      <c r="W70">
        <f>1</f>
        <v>1</v>
      </c>
      <c r="X70">
        <f>Teacher_Data[[#This Row],[End_Date]]-Teacher_Data[[#This Row],[Start_Date]]</f>
        <v>26</v>
      </c>
      <c r="Y70" t="str">
        <f>_xlfn.IFS(Teacher_Data[[#This Row],[Experience_Years]]&lt;=5,"0-5 Years",Teacher_Data[[#This Row],[Experience_Years]]&lt;=10,"5-10 Years",Teacher_Data[[#This Row],[Experience_Years]]&lt;=20,"11-20 Years",TRUE,"20+ Years")</f>
        <v>20+ Years</v>
      </c>
    </row>
    <row r="71" spans="1:25" x14ac:dyDescent="0.3">
      <c r="A71" t="s">
        <v>231</v>
      </c>
      <c r="B71" t="s">
        <v>197</v>
      </c>
      <c r="C71" t="s">
        <v>22</v>
      </c>
      <c r="D71">
        <v>22</v>
      </c>
      <c r="E71" t="s">
        <v>23</v>
      </c>
      <c r="F71" t="s">
        <v>83</v>
      </c>
      <c r="G71" t="s">
        <v>58</v>
      </c>
      <c r="H71" t="s">
        <v>50</v>
      </c>
      <c r="I71" t="s">
        <v>27</v>
      </c>
      <c r="J71" s="1">
        <v>45329</v>
      </c>
      <c r="K71" s="1">
        <v>45335</v>
      </c>
      <c r="L71" t="s">
        <v>52</v>
      </c>
      <c r="M71" s="2">
        <v>89</v>
      </c>
      <c r="N71">
        <v>66</v>
      </c>
      <c r="O71" t="s">
        <v>53</v>
      </c>
      <c r="P71">
        <v>20</v>
      </c>
      <c r="Q71" t="s">
        <v>40</v>
      </c>
      <c r="R71" t="s">
        <v>104</v>
      </c>
      <c r="S71" t="s">
        <v>232</v>
      </c>
      <c r="T71">
        <v>22</v>
      </c>
      <c r="U71" t="str">
        <f>IF(Teacher_Data[[#This Row],[Completion_Status]]="Completed","Yes","No")</f>
        <v>Yes</v>
      </c>
      <c r="V71">
        <f>IF(Teacher_Data[[#This Row],[Completion_Status]]="Completed",1,0)</f>
        <v>1</v>
      </c>
      <c r="W71">
        <f>1</f>
        <v>1</v>
      </c>
      <c r="X71">
        <f>Teacher_Data[[#This Row],[End_Date]]-Teacher_Data[[#This Row],[Start_Date]]</f>
        <v>6</v>
      </c>
      <c r="Y71" t="str">
        <f>_xlfn.IFS(Teacher_Data[[#This Row],[Experience_Years]]&lt;=5,"0-5 Years",Teacher_Data[[#This Row],[Experience_Years]]&lt;=10,"5-10 Years",Teacher_Data[[#This Row],[Experience_Years]]&lt;=20,"11-20 Years",TRUE,"20+ Years")</f>
        <v>20+ Years</v>
      </c>
    </row>
    <row r="72" spans="1:25" x14ac:dyDescent="0.3">
      <c r="A72" t="s">
        <v>233</v>
      </c>
      <c r="B72" t="s">
        <v>188</v>
      </c>
      <c r="C72" t="s">
        <v>35</v>
      </c>
      <c r="D72">
        <v>41</v>
      </c>
      <c r="E72" t="s">
        <v>36</v>
      </c>
      <c r="F72" t="s">
        <v>100</v>
      </c>
      <c r="G72" t="s">
        <v>25</v>
      </c>
      <c r="H72" t="s">
        <v>26</v>
      </c>
      <c r="I72" t="s">
        <v>27</v>
      </c>
      <c r="J72" s="1">
        <v>45409</v>
      </c>
      <c r="K72" s="1">
        <v>45440</v>
      </c>
      <c r="L72" t="s">
        <v>28</v>
      </c>
      <c r="M72" s="2">
        <v>50</v>
      </c>
      <c r="O72" t="s">
        <v>29</v>
      </c>
      <c r="P72">
        <v>28</v>
      </c>
      <c r="Q72" t="s">
        <v>68</v>
      </c>
      <c r="R72" t="s">
        <v>31</v>
      </c>
      <c r="S72" t="s">
        <v>234</v>
      </c>
      <c r="T72">
        <v>32</v>
      </c>
      <c r="U72" t="str">
        <f>IF(Teacher_Data[[#This Row],[Completion_Status]]="Completed","Yes","No")</f>
        <v>No</v>
      </c>
      <c r="V72">
        <f>IF(Teacher_Data[[#This Row],[Completion_Status]]="Completed",1,0)</f>
        <v>0</v>
      </c>
      <c r="W72">
        <f>1</f>
        <v>1</v>
      </c>
      <c r="X72">
        <f>Teacher_Data[[#This Row],[End_Date]]-Teacher_Data[[#This Row],[Start_Date]]</f>
        <v>31</v>
      </c>
      <c r="Y72" t="str">
        <f>_xlfn.IFS(Teacher_Data[[#This Row],[Experience_Years]]&lt;=5,"0-5 Years",Teacher_Data[[#This Row],[Experience_Years]]&lt;=10,"5-10 Years",Teacher_Data[[#This Row],[Experience_Years]]&lt;=20,"11-20 Years",TRUE,"20+ Years")</f>
        <v>20+ Years</v>
      </c>
    </row>
    <row r="73" spans="1:25" x14ac:dyDescent="0.3">
      <c r="A73" t="s">
        <v>235</v>
      </c>
      <c r="B73" t="s">
        <v>44</v>
      </c>
      <c r="C73" t="s">
        <v>22</v>
      </c>
      <c r="D73">
        <v>42</v>
      </c>
      <c r="E73" t="s">
        <v>36</v>
      </c>
      <c r="F73" t="s">
        <v>37</v>
      </c>
      <c r="G73" t="s">
        <v>58</v>
      </c>
      <c r="H73" t="s">
        <v>50</v>
      </c>
      <c r="I73" t="s">
        <v>46</v>
      </c>
      <c r="J73" s="1">
        <v>45489</v>
      </c>
      <c r="K73" s="1">
        <v>45500</v>
      </c>
      <c r="L73" t="s">
        <v>60</v>
      </c>
      <c r="M73" s="2">
        <v>2</v>
      </c>
      <c r="O73" t="s">
        <v>29</v>
      </c>
      <c r="P73">
        <v>23</v>
      </c>
      <c r="Q73" t="s">
        <v>61</v>
      </c>
      <c r="R73" t="s">
        <v>72</v>
      </c>
      <c r="S73" t="s">
        <v>236</v>
      </c>
      <c r="T73">
        <v>13</v>
      </c>
      <c r="U73" t="str">
        <f>IF(Teacher_Data[[#This Row],[Completion_Status]]="Completed","Yes","No")</f>
        <v>No</v>
      </c>
      <c r="V73">
        <f>IF(Teacher_Data[[#This Row],[Completion_Status]]="Completed",1,0)</f>
        <v>0</v>
      </c>
      <c r="W73">
        <f>1</f>
        <v>1</v>
      </c>
      <c r="X73">
        <f>Teacher_Data[[#This Row],[End_Date]]-Teacher_Data[[#This Row],[Start_Date]]</f>
        <v>11</v>
      </c>
      <c r="Y73" t="str">
        <f>_xlfn.IFS(Teacher_Data[[#This Row],[Experience_Years]]&lt;=5,"0-5 Years",Teacher_Data[[#This Row],[Experience_Years]]&lt;=10,"5-10 Years",Teacher_Data[[#This Row],[Experience_Years]]&lt;=20,"11-20 Years",TRUE,"20+ Years")</f>
        <v>11-20 Years</v>
      </c>
    </row>
    <row r="74" spans="1:25" x14ac:dyDescent="0.3">
      <c r="A74" t="s">
        <v>237</v>
      </c>
      <c r="B74" t="s">
        <v>238</v>
      </c>
      <c r="C74" t="s">
        <v>22</v>
      </c>
      <c r="D74">
        <v>57</v>
      </c>
      <c r="E74" t="s">
        <v>66</v>
      </c>
      <c r="F74" t="s">
        <v>83</v>
      </c>
      <c r="G74" t="s">
        <v>38</v>
      </c>
      <c r="H74" t="s">
        <v>50</v>
      </c>
      <c r="I74" t="s">
        <v>51</v>
      </c>
      <c r="J74" s="1">
        <v>45456</v>
      </c>
      <c r="K74" s="1">
        <v>45500</v>
      </c>
      <c r="L74" t="s">
        <v>28</v>
      </c>
      <c r="M74" s="2">
        <v>42</v>
      </c>
      <c r="O74" t="s">
        <v>29</v>
      </c>
      <c r="P74">
        <v>13</v>
      </c>
      <c r="Q74" t="s">
        <v>61</v>
      </c>
      <c r="R74" t="s">
        <v>72</v>
      </c>
      <c r="S74" t="s">
        <v>239</v>
      </c>
      <c r="T74">
        <v>16</v>
      </c>
      <c r="U74" t="str">
        <f>IF(Teacher_Data[[#This Row],[Completion_Status]]="Completed","Yes","No")</f>
        <v>No</v>
      </c>
      <c r="V74">
        <f>IF(Teacher_Data[[#This Row],[Completion_Status]]="Completed",1,0)</f>
        <v>0</v>
      </c>
      <c r="W74">
        <f>1</f>
        <v>1</v>
      </c>
      <c r="X74">
        <f>Teacher_Data[[#This Row],[End_Date]]-Teacher_Data[[#This Row],[Start_Date]]</f>
        <v>44</v>
      </c>
      <c r="Y74" t="str">
        <f>_xlfn.IFS(Teacher_Data[[#This Row],[Experience_Years]]&lt;=5,"0-5 Years",Teacher_Data[[#This Row],[Experience_Years]]&lt;=10,"5-10 Years",Teacher_Data[[#This Row],[Experience_Years]]&lt;=20,"11-20 Years",TRUE,"20+ Years")</f>
        <v>11-20 Years</v>
      </c>
    </row>
    <row r="75" spans="1:25" x14ac:dyDescent="0.3">
      <c r="A75" t="s">
        <v>240</v>
      </c>
      <c r="B75" t="s">
        <v>156</v>
      </c>
      <c r="C75" t="s">
        <v>22</v>
      </c>
      <c r="D75">
        <v>34</v>
      </c>
      <c r="E75" t="s">
        <v>23</v>
      </c>
      <c r="F75" t="s">
        <v>24</v>
      </c>
      <c r="G75" t="s">
        <v>25</v>
      </c>
      <c r="H75" t="s">
        <v>50</v>
      </c>
      <c r="I75" t="s">
        <v>46</v>
      </c>
      <c r="J75" s="1">
        <v>45442</v>
      </c>
      <c r="K75" s="1">
        <v>45475</v>
      </c>
      <c r="L75" t="s">
        <v>60</v>
      </c>
      <c r="M75" s="2">
        <v>22</v>
      </c>
      <c r="O75" t="s">
        <v>29</v>
      </c>
      <c r="P75">
        <v>28</v>
      </c>
      <c r="Q75" t="s">
        <v>30</v>
      </c>
      <c r="R75" t="s">
        <v>72</v>
      </c>
      <c r="S75" t="s">
        <v>241</v>
      </c>
      <c r="T75">
        <v>5</v>
      </c>
      <c r="U75" t="str">
        <f>IF(Teacher_Data[[#This Row],[Completion_Status]]="Completed","Yes","No")</f>
        <v>No</v>
      </c>
      <c r="V75">
        <f>IF(Teacher_Data[[#This Row],[Completion_Status]]="Completed",1,0)</f>
        <v>0</v>
      </c>
      <c r="W75">
        <f>1</f>
        <v>1</v>
      </c>
      <c r="X75">
        <f>Teacher_Data[[#This Row],[End_Date]]-Teacher_Data[[#This Row],[Start_Date]]</f>
        <v>33</v>
      </c>
      <c r="Y75" t="str">
        <f>_xlfn.IFS(Teacher_Data[[#This Row],[Experience_Years]]&lt;=5,"0-5 Years",Teacher_Data[[#This Row],[Experience_Years]]&lt;=10,"5-10 Years",Teacher_Data[[#This Row],[Experience_Years]]&lt;=20,"11-20 Years",TRUE,"20+ Years")</f>
        <v>0-5 Years</v>
      </c>
    </row>
    <row r="76" spans="1:25" x14ac:dyDescent="0.3">
      <c r="A76" t="s">
        <v>242</v>
      </c>
      <c r="B76" t="s">
        <v>107</v>
      </c>
      <c r="C76" t="s">
        <v>35</v>
      </c>
      <c r="D76">
        <v>37</v>
      </c>
      <c r="E76" t="s">
        <v>36</v>
      </c>
      <c r="F76" t="s">
        <v>37</v>
      </c>
      <c r="G76" t="s">
        <v>38</v>
      </c>
      <c r="H76" t="s">
        <v>59</v>
      </c>
      <c r="I76" t="s">
        <v>27</v>
      </c>
      <c r="J76" s="1">
        <v>45480</v>
      </c>
      <c r="K76" s="1">
        <v>45487</v>
      </c>
      <c r="L76" t="s">
        <v>60</v>
      </c>
      <c r="M76" s="2">
        <v>2</v>
      </c>
      <c r="O76" t="s">
        <v>29</v>
      </c>
      <c r="P76">
        <v>9</v>
      </c>
      <c r="Q76" t="s">
        <v>61</v>
      </c>
      <c r="R76" t="s">
        <v>31</v>
      </c>
      <c r="S76" t="s">
        <v>243</v>
      </c>
      <c r="T76">
        <v>15</v>
      </c>
      <c r="U76" t="str">
        <f>IF(Teacher_Data[[#This Row],[Completion_Status]]="Completed","Yes","No")</f>
        <v>No</v>
      </c>
      <c r="V76">
        <f>IF(Teacher_Data[[#This Row],[Completion_Status]]="Completed",1,0)</f>
        <v>0</v>
      </c>
      <c r="W76">
        <f>1</f>
        <v>1</v>
      </c>
      <c r="X76">
        <f>Teacher_Data[[#This Row],[End_Date]]-Teacher_Data[[#This Row],[Start_Date]]</f>
        <v>7</v>
      </c>
      <c r="Y76" t="str">
        <f>_xlfn.IFS(Teacher_Data[[#This Row],[Experience_Years]]&lt;=5,"0-5 Years",Teacher_Data[[#This Row],[Experience_Years]]&lt;=10,"5-10 Years",Teacher_Data[[#This Row],[Experience_Years]]&lt;=20,"11-20 Years",TRUE,"20+ Years")</f>
        <v>11-20 Years</v>
      </c>
    </row>
    <row r="77" spans="1:25" x14ac:dyDescent="0.3">
      <c r="A77" t="s">
        <v>244</v>
      </c>
      <c r="B77" t="s">
        <v>229</v>
      </c>
      <c r="C77" t="s">
        <v>35</v>
      </c>
      <c r="D77">
        <v>50</v>
      </c>
      <c r="E77" t="s">
        <v>57</v>
      </c>
      <c r="F77" t="s">
        <v>100</v>
      </c>
      <c r="G77" t="s">
        <v>76</v>
      </c>
      <c r="H77" t="s">
        <v>26</v>
      </c>
      <c r="I77" t="s">
        <v>27</v>
      </c>
      <c r="J77" s="1">
        <v>45359</v>
      </c>
      <c r="K77" s="1">
        <v>45406</v>
      </c>
      <c r="L77" t="s">
        <v>60</v>
      </c>
      <c r="M77" s="2">
        <v>26</v>
      </c>
      <c r="O77" t="s">
        <v>29</v>
      </c>
      <c r="P77">
        <v>17</v>
      </c>
      <c r="Q77" t="s">
        <v>30</v>
      </c>
      <c r="R77" t="s">
        <v>31</v>
      </c>
      <c r="S77" t="s">
        <v>245</v>
      </c>
      <c r="T77">
        <v>35</v>
      </c>
      <c r="U77" t="str">
        <f>IF(Teacher_Data[[#This Row],[Completion_Status]]="Completed","Yes","No")</f>
        <v>No</v>
      </c>
      <c r="V77">
        <f>IF(Teacher_Data[[#This Row],[Completion_Status]]="Completed",1,0)</f>
        <v>0</v>
      </c>
      <c r="W77">
        <f>1</f>
        <v>1</v>
      </c>
      <c r="X77">
        <f>Teacher_Data[[#This Row],[End_Date]]-Teacher_Data[[#This Row],[Start_Date]]</f>
        <v>47</v>
      </c>
      <c r="Y77" t="str">
        <f>_xlfn.IFS(Teacher_Data[[#This Row],[Experience_Years]]&lt;=5,"0-5 Years",Teacher_Data[[#This Row],[Experience_Years]]&lt;=10,"5-10 Years",Teacher_Data[[#This Row],[Experience_Years]]&lt;=20,"11-20 Years",TRUE,"20+ Years")</f>
        <v>20+ Years</v>
      </c>
    </row>
    <row r="78" spans="1:25" x14ac:dyDescent="0.3">
      <c r="A78" t="s">
        <v>246</v>
      </c>
      <c r="B78" t="s">
        <v>167</v>
      </c>
      <c r="C78" t="s">
        <v>22</v>
      </c>
      <c r="D78">
        <v>32</v>
      </c>
      <c r="E78" t="s">
        <v>66</v>
      </c>
      <c r="F78" t="s">
        <v>37</v>
      </c>
      <c r="G78" t="s">
        <v>76</v>
      </c>
      <c r="H78" t="s">
        <v>59</v>
      </c>
      <c r="I78" t="s">
        <v>51</v>
      </c>
      <c r="J78" s="1">
        <v>45432</v>
      </c>
      <c r="K78" s="1">
        <v>45478</v>
      </c>
      <c r="L78" t="s">
        <v>52</v>
      </c>
      <c r="M78" s="2">
        <v>94</v>
      </c>
      <c r="N78">
        <v>66</v>
      </c>
      <c r="O78" t="s">
        <v>53</v>
      </c>
      <c r="P78">
        <v>8</v>
      </c>
      <c r="Q78" t="s">
        <v>30</v>
      </c>
      <c r="R78" t="s">
        <v>41</v>
      </c>
      <c r="S78" t="s">
        <v>247</v>
      </c>
      <c r="T78">
        <v>6</v>
      </c>
      <c r="U78" t="str">
        <f>IF(Teacher_Data[[#This Row],[Completion_Status]]="Completed","Yes","No")</f>
        <v>Yes</v>
      </c>
      <c r="V78">
        <f>IF(Teacher_Data[[#This Row],[Completion_Status]]="Completed",1,0)</f>
        <v>1</v>
      </c>
      <c r="W78">
        <f>1</f>
        <v>1</v>
      </c>
      <c r="X78">
        <f>Teacher_Data[[#This Row],[End_Date]]-Teacher_Data[[#This Row],[Start_Date]]</f>
        <v>46</v>
      </c>
      <c r="Y78" t="str">
        <f>_xlfn.IFS(Teacher_Data[[#This Row],[Experience_Years]]&lt;=5,"0-5 Years",Teacher_Data[[#This Row],[Experience_Years]]&lt;=10,"5-10 Years",Teacher_Data[[#This Row],[Experience_Years]]&lt;=20,"11-20 Years",TRUE,"20+ Years")</f>
        <v>5-10 Years</v>
      </c>
    </row>
    <row r="79" spans="1:25" x14ac:dyDescent="0.3">
      <c r="A79" t="s">
        <v>248</v>
      </c>
      <c r="B79" t="s">
        <v>191</v>
      </c>
      <c r="C79" t="s">
        <v>35</v>
      </c>
      <c r="D79">
        <v>25</v>
      </c>
      <c r="E79" t="s">
        <v>66</v>
      </c>
      <c r="F79" t="s">
        <v>67</v>
      </c>
      <c r="G79" t="s">
        <v>38</v>
      </c>
      <c r="H79" t="s">
        <v>26</v>
      </c>
      <c r="I79" t="s">
        <v>27</v>
      </c>
      <c r="J79" s="1">
        <v>45493</v>
      </c>
      <c r="K79" s="1">
        <v>45510</v>
      </c>
      <c r="L79" t="s">
        <v>28</v>
      </c>
      <c r="M79" s="2">
        <v>77</v>
      </c>
      <c r="O79" t="s">
        <v>29</v>
      </c>
      <c r="P79">
        <v>30</v>
      </c>
      <c r="Q79" t="s">
        <v>30</v>
      </c>
      <c r="R79" t="s">
        <v>41</v>
      </c>
      <c r="S79" t="s">
        <v>249</v>
      </c>
      <c r="T79">
        <v>7</v>
      </c>
      <c r="U79" t="str">
        <f>IF(Teacher_Data[[#This Row],[Completion_Status]]="Completed","Yes","No")</f>
        <v>No</v>
      </c>
      <c r="V79">
        <f>IF(Teacher_Data[[#This Row],[Completion_Status]]="Completed",1,0)</f>
        <v>0</v>
      </c>
      <c r="W79">
        <f>1</f>
        <v>1</v>
      </c>
      <c r="X79">
        <f>Teacher_Data[[#This Row],[End_Date]]-Teacher_Data[[#This Row],[Start_Date]]</f>
        <v>17</v>
      </c>
      <c r="Y79" t="str">
        <f>_xlfn.IFS(Teacher_Data[[#This Row],[Experience_Years]]&lt;=5,"0-5 Years",Teacher_Data[[#This Row],[Experience_Years]]&lt;=10,"5-10 Years",Teacher_Data[[#This Row],[Experience_Years]]&lt;=20,"11-20 Years",TRUE,"20+ Years")</f>
        <v>5-10 Years</v>
      </c>
    </row>
    <row r="80" spans="1:25" x14ac:dyDescent="0.3">
      <c r="A80" t="s">
        <v>250</v>
      </c>
      <c r="B80" t="s">
        <v>118</v>
      </c>
      <c r="C80" t="s">
        <v>22</v>
      </c>
      <c r="D80">
        <v>44</v>
      </c>
      <c r="E80" t="s">
        <v>36</v>
      </c>
      <c r="F80" t="s">
        <v>37</v>
      </c>
      <c r="G80" t="s">
        <v>25</v>
      </c>
      <c r="H80" t="s">
        <v>50</v>
      </c>
      <c r="I80" t="s">
        <v>27</v>
      </c>
      <c r="J80" s="1">
        <v>45460</v>
      </c>
      <c r="K80" s="1">
        <v>45483</v>
      </c>
      <c r="L80" t="s">
        <v>28</v>
      </c>
      <c r="M80" s="2">
        <v>68</v>
      </c>
      <c r="O80" t="s">
        <v>29</v>
      </c>
      <c r="P80">
        <v>17</v>
      </c>
      <c r="Q80" t="s">
        <v>68</v>
      </c>
      <c r="R80" t="s">
        <v>72</v>
      </c>
      <c r="S80" t="s">
        <v>251</v>
      </c>
      <c r="T80">
        <v>10</v>
      </c>
      <c r="U80" t="str">
        <f>IF(Teacher_Data[[#This Row],[Completion_Status]]="Completed","Yes","No")</f>
        <v>No</v>
      </c>
      <c r="V80">
        <f>IF(Teacher_Data[[#This Row],[Completion_Status]]="Completed",1,0)</f>
        <v>0</v>
      </c>
      <c r="W80">
        <f>1</f>
        <v>1</v>
      </c>
      <c r="X80">
        <f>Teacher_Data[[#This Row],[End_Date]]-Teacher_Data[[#This Row],[Start_Date]]</f>
        <v>23</v>
      </c>
      <c r="Y80" t="str">
        <f>_xlfn.IFS(Teacher_Data[[#This Row],[Experience_Years]]&lt;=5,"0-5 Years",Teacher_Data[[#This Row],[Experience_Years]]&lt;=10,"5-10 Years",Teacher_Data[[#This Row],[Experience_Years]]&lt;=20,"11-20 Years",TRUE,"20+ Years")</f>
        <v>5-10 Years</v>
      </c>
    </row>
    <row r="81" spans="1:25" x14ac:dyDescent="0.3">
      <c r="A81" t="s">
        <v>252</v>
      </c>
      <c r="B81" t="s">
        <v>94</v>
      </c>
      <c r="C81" t="s">
        <v>22</v>
      </c>
      <c r="D81">
        <v>56</v>
      </c>
      <c r="E81" t="s">
        <v>66</v>
      </c>
      <c r="F81" t="s">
        <v>24</v>
      </c>
      <c r="G81" t="s">
        <v>45</v>
      </c>
      <c r="H81" t="s">
        <v>39</v>
      </c>
      <c r="I81" t="s">
        <v>51</v>
      </c>
      <c r="J81" s="1">
        <v>45418</v>
      </c>
      <c r="K81" s="1">
        <v>45426</v>
      </c>
      <c r="L81" t="s">
        <v>60</v>
      </c>
      <c r="M81" s="2">
        <v>12</v>
      </c>
      <c r="O81" t="s">
        <v>29</v>
      </c>
      <c r="P81">
        <v>18</v>
      </c>
      <c r="Q81" t="s">
        <v>40</v>
      </c>
      <c r="R81" t="s">
        <v>104</v>
      </c>
      <c r="S81" t="s">
        <v>253</v>
      </c>
      <c r="T81">
        <v>23</v>
      </c>
      <c r="U81" t="str">
        <f>IF(Teacher_Data[[#This Row],[Completion_Status]]="Completed","Yes","No")</f>
        <v>No</v>
      </c>
      <c r="V81">
        <f>IF(Teacher_Data[[#This Row],[Completion_Status]]="Completed",1,0)</f>
        <v>0</v>
      </c>
      <c r="W81">
        <f>1</f>
        <v>1</v>
      </c>
      <c r="X81">
        <f>Teacher_Data[[#This Row],[End_Date]]-Teacher_Data[[#This Row],[Start_Date]]</f>
        <v>8</v>
      </c>
      <c r="Y81" t="str">
        <f>_xlfn.IFS(Teacher_Data[[#This Row],[Experience_Years]]&lt;=5,"0-5 Years",Teacher_Data[[#This Row],[Experience_Years]]&lt;=10,"5-10 Years",Teacher_Data[[#This Row],[Experience_Years]]&lt;=20,"11-20 Years",TRUE,"20+ Years")</f>
        <v>20+ Years</v>
      </c>
    </row>
    <row r="82" spans="1:25" x14ac:dyDescent="0.3">
      <c r="A82" t="s">
        <v>254</v>
      </c>
      <c r="B82" t="s">
        <v>191</v>
      </c>
      <c r="C82" t="s">
        <v>22</v>
      </c>
      <c r="D82">
        <v>23</v>
      </c>
      <c r="E82" t="s">
        <v>66</v>
      </c>
      <c r="F82" t="s">
        <v>67</v>
      </c>
      <c r="G82" t="s">
        <v>76</v>
      </c>
      <c r="H82" t="s">
        <v>59</v>
      </c>
      <c r="I82" t="s">
        <v>51</v>
      </c>
      <c r="J82" s="1">
        <v>45578</v>
      </c>
      <c r="K82" s="1">
        <v>45598</v>
      </c>
      <c r="L82" t="s">
        <v>28</v>
      </c>
      <c r="M82" s="2">
        <v>63</v>
      </c>
      <c r="O82" t="s">
        <v>29</v>
      </c>
      <c r="P82">
        <v>49</v>
      </c>
      <c r="Q82" t="s">
        <v>61</v>
      </c>
      <c r="R82" t="s">
        <v>31</v>
      </c>
      <c r="S82" t="s">
        <v>255</v>
      </c>
      <c r="T82">
        <v>9</v>
      </c>
      <c r="U82" t="str">
        <f>IF(Teacher_Data[[#This Row],[Completion_Status]]="Completed","Yes","No")</f>
        <v>No</v>
      </c>
      <c r="V82">
        <f>IF(Teacher_Data[[#This Row],[Completion_Status]]="Completed",1,0)</f>
        <v>0</v>
      </c>
      <c r="W82">
        <f>1</f>
        <v>1</v>
      </c>
      <c r="X82">
        <f>Teacher_Data[[#This Row],[End_Date]]-Teacher_Data[[#This Row],[Start_Date]]</f>
        <v>20</v>
      </c>
      <c r="Y82" t="str">
        <f>_xlfn.IFS(Teacher_Data[[#This Row],[Experience_Years]]&lt;=5,"0-5 Years",Teacher_Data[[#This Row],[Experience_Years]]&lt;=10,"5-10 Years",Teacher_Data[[#This Row],[Experience_Years]]&lt;=20,"11-20 Years",TRUE,"20+ Years")</f>
        <v>5-10 Years</v>
      </c>
    </row>
    <row r="83" spans="1:25" x14ac:dyDescent="0.3">
      <c r="A83" t="s">
        <v>256</v>
      </c>
      <c r="B83" t="s">
        <v>185</v>
      </c>
      <c r="C83" t="s">
        <v>22</v>
      </c>
      <c r="D83">
        <v>24</v>
      </c>
      <c r="E83" t="s">
        <v>66</v>
      </c>
      <c r="F83" t="s">
        <v>67</v>
      </c>
      <c r="G83" t="s">
        <v>76</v>
      </c>
      <c r="H83" t="s">
        <v>50</v>
      </c>
      <c r="I83" t="s">
        <v>27</v>
      </c>
      <c r="J83" s="1">
        <v>45366</v>
      </c>
      <c r="K83" s="1">
        <v>45414</v>
      </c>
      <c r="L83" t="s">
        <v>52</v>
      </c>
      <c r="M83" s="2">
        <v>52</v>
      </c>
      <c r="N83">
        <v>53</v>
      </c>
      <c r="O83" t="s">
        <v>53</v>
      </c>
      <c r="P83">
        <v>32</v>
      </c>
      <c r="Q83" t="s">
        <v>61</v>
      </c>
      <c r="R83" t="s">
        <v>72</v>
      </c>
      <c r="S83" t="s">
        <v>257</v>
      </c>
      <c r="T83">
        <v>10</v>
      </c>
      <c r="U83" t="str">
        <f>IF(Teacher_Data[[#This Row],[Completion_Status]]="Completed","Yes","No")</f>
        <v>Yes</v>
      </c>
      <c r="V83">
        <f>IF(Teacher_Data[[#This Row],[Completion_Status]]="Completed",1,0)</f>
        <v>1</v>
      </c>
      <c r="W83">
        <f>1</f>
        <v>1</v>
      </c>
      <c r="X83">
        <f>Teacher_Data[[#This Row],[End_Date]]-Teacher_Data[[#This Row],[Start_Date]]</f>
        <v>48</v>
      </c>
      <c r="Y83" t="str">
        <f>_xlfn.IFS(Teacher_Data[[#This Row],[Experience_Years]]&lt;=5,"0-5 Years",Teacher_Data[[#This Row],[Experience_Years]]&lt;=10,"5-10 Years",Teacher_Data[[#This Row],[Experience_Years]]&lt;=20,"11-20 Years",TRUE,"20+ Years")</f>
        <v>5-10 Years</v>
      </c>
    </row>
    <row r="84" spans="1:25" x14ac:dyDescent="0.3">
      <c r="A84" t="s">
        <v>258</v>
      </c>
      <c r="B84" t="s">
        <v>115</v>
      </c>
      <c r="C84" t="s">
        <v>22</v>
      </c>
      <c r="D84">
        <v>48</v>
      </c>
      <c r="E84" t="s">
        <v>36</v>
      </c>
      <c r="F84" t="s">
        <v>37</v>
      </c>
      <c r="G84" t="s">
        <v>76</v>
      </c>
      <c r="H84" t="s">
        <v>39</v>
      </c>
      <c r="I84" t="s">
        <v>46</v>
      </c>
      <c r="J84" s="1">
        <v>45317</v>
      </c>
      <c r="K84" s="1">
        <v>45360</v>
      </c>
      <c r="L84" t="s">
        <v>60</v>
      </c>
      <c r="M84" s="2">
        <v>28</v>
      </c>
      <c r="O84" t="s">
        <v>29</v>
      </c>
      <c r="P84">
        <v>32</v>
      </c>
      <c r="Q84" t="s">
        <v>40</v>
      </c>
      <c r="R84" t="s">
        <v>41</v>
      </c>
      <c r="S84" t="s">
        <v>259</v>
      </c>
      <c r="T84">
        <v>6</v>
      </c>
      <c r="U84" t="str">
        <f>IF(Teacher_Data[[#This Row],[Completion_Status]]="Completed","Yes","No")</f>
        <v>No</v>
      </c>
      <c r="V84">
        <f>IF(Teacher_Data[[#This Row],[Completion_Status]]="Completed",1,0)</f>
        <v>0</v>
      </c>
      <c r="W84">
        <f>1</f>
        <v>1</v>
      </c>
      <c r="X84">
        <f>Teacher_Data[[#This Row],[End_Date]]-Teacher_Data[[#This Row],[Start_Date]]</f>
        <v>43</v>
      </c>
      <c r="Y84" t="str">
        <f>_xlfn.IFS(Teacher_Data[[#This Row],[Experience_Years]]&lt;=5,"0-5 Years",Teacher_Data[[#This Row],[Experience_Years]]&lt;=10,"5-10 Years",Teacher_Data[[#This Row],[Experience_Years]]&lt;=20,"11-20 Years",TRUE,"20+ Years")</f>
        <v>5-10 Years</v>
      </c>
    </row>
    <row r="85" spans="1:25" x14ac:dyDescent="0.3">
      <c r="A85" t="s">
        <v>260</v>
      </c>
      <c r="B85" t="s">
        <v>118</v>
      </c>
      <c r="C85" t="s">
        <v>35</v>
      </c>
      <c r="D85">
        <v>59</v>
      </c>
      <c r="E85" t="s">
        <v>66</v>
      </c>
      <c r="F85" t="s">
        <v>24</v>
      </c>
      <c r="G85" t="s">
        <v>38</v>
      </c>
      <c r="H85" t="s">
        <v>59</v>
      </c>
      <c r="I85" t="s">
        <v>51</v>
      </c>
      <c r="J85" s="1">
        <v>45486</v>
      </c>
      <c r="K85" s="1">
        <v>45510</v>
      </c>
      <c r="L85" t="s">
        <v>28</v>
      </c>
      <c r="M85" s="2">
        <v>71</v>
      </c>
      <c r="O85" t="s">
        <v>29</v>
      </c>
      <c r="P85">
        <v>31</v>
      </c>
      <c r="Q85" t="s">
        <v>68</v>
      </c>
      <c r="R85" t="s">
        <v>72</v>
      </c>
      <c r="S85" t="s">
        <v>261</v>
      </c>
      <c r="T85">
        <v>28</v>
      </c>
      <c r="U85" t="str">
        <f>IF(Teacher_Data[[#This Row],[Completion_Status]]="Completed","Yes","No")</f>
        <v>No</v>
      </c>
      <c r="V85">
        <f>IF(Teacher_Data[[#This Row],[Completion_Status]]="Completed",1,0)</f>
        <v>0</v>
      </c>
      <c r="W85">
        <f>1</f>
        <v>1</v>
      </c>
      <c r="X85">
        <f>Teacher_Data[[#This Row],[End_Date]]-Teacher_Data[[#This Row],[Start_Date]]</f>
        <v>24</v>
      </c>
      <c r="Y85" t="str">
        <f>_xlfn.IFS(Teacher_Data[[#This Row],[Experience_Years]]&lt;=5,"0-5 Years",Teacher_Data[[#This Row],[Experience_Years]]&lt;=10,"5-10 Years",Teacher_Data[[#This Row],[Experience_Years]]&lt;=20,"11-20 Years",TRUE,"20+ Years")</f>
        <v>20+ Years</v>
      </c>
    </row>
    <row r="86" spans="1:25" x14ac:dyDescent="0.3">
      <c r="A86" t="s">
        <v>262</v>
      </c>
      <c r="B86" t="s">
        <v>89</v>
      </c>
      <c r="C86" t="s">
        <v>35</v>
      </c>
      <c r="D86">
        <v>51</v>
      </c>
      <c r="E86" t="s">
        <v>23</v>
      </c>
      <c r="F86" t="s">
        <v>100</v>
      </c>
      <c r="G86" t="s">
        <v>76</v>
      </c>
      <c r="H86" t="s">
        <v>50</v>
      </c>
      <c r="I86" t="s">
        <v>46</v>
      </c>
      <c r="J86" s="1">
        <v>45393</v>
      </c>
      <c r="K86" s="1">
        <v>45424</v>
      </c>
      <c r="L86" t="s">
        <v>28</v>
      </c>
      <c r="M86" s="2">
        <v>77</v>
      </c>
      <c r="O86" t="s">
        <v>29</v>
      </c>
      <c r="P86">
        <v>10</v>
      </c>
      <c r="Q86" t="s">
        <v>40</v>
      </c>
      <c r="R86" t="s">
        <v>41</v>
      </c>
      <c r="S86" t="s">
        <v>263</v>
      </c>
      <c r="T86">
        <v>21</v>
      </c>
      <c r="U86" t="str">
        <f>IF(Teacher_Data[[#This Row],[Completion_Status]]="Completed","Yes","No")</f>
        <v>No</v>
      </c>
      <c r="V86">
        <f>IF(Teacher_Data[[#This Row],[Completion_Status]]="Completed",1,0)</f>
        <v>0</v>
      </c>
      <c r="W86">
        <f>1</f>
        <v>1</v>
      </c>
      <c r="X86">
        <f>Teacher_Data[[#This Row],[End_Date]]-Teacher_Data[[#This Row],[Start_Date]]</f>
        <v>31</v>
      </c>
      <c r="Y86" t="str">
        <f>_xlfn.IFS(Teacher_Data[[#This Row],[Experience_Years]]&lt;=5,"0-5 Years",Teacher_Data[[#This Row],[Experience_Years]]&lt;=10,"5-10 Years",Teacher_Data[[#This Row],[Experience_Years]]&lt;=20,"11-20 Years",TRUE,"20+ Years")</f>
        <v>20+ Years</v>
      </c>
    </row>
    <row r="87" spans="1:25" x14ac:dyDescent="0.3">
      <c r="A87" t="s">
        <v>264</v>
      </c>
      <c r="B87" t="s">
        <v>197</v>
      </c>
      <c r="C87" t="s">
        <v>22</v>
      </c>
      <c r="D87">
        <v>51</v>
      </c>
      <c r="E87" t="s">
        <v>57</v>
      </c>
      <c r="F87" t="s">
        <v>24</v>
      </c>
      <c r="G87" t="s">
        <v>58</v>
      </c>
      <c r="H87" t="s">
        <v>59</v>
      </c>
      <c r="I87" t="s">
        <v>46</v>
      </c>
      <c r="J87" s="1">
        <v>45496</v>
      </c>
      <c r="K87" s="1">
        <v>45544</v>
      </c>
      <c r="L87" t="s">
        <v>60</v>
      </c>
      <c r="M87" s="2">
        <v>6</v>
      </c>
      <c r="O87" t="s">
        <v>29</v>
      </c>
      <c r="P87">
        <v>33</v>
      </c>
      <c r="Q87" t="s">
        <v>30</v>
      </c>
      <c r="R87" t="s">
        <v>62</v>
      </c>
      <c r="S87" t="s">
        <v>265</v>
      </c>
      <c r="T87">
        <v>27</v>
      </c>
      <c r="U87" t="str">
        <f>IF(Teacher_Data[[#This Row],[Completion_Status]]="Completed","Yes","No")</f>
        <v>No</v>
      </c>
      <c r="V87">
        <f>IF(Teacher_Data[[#This Row],[Completion_Status]]="Completed",1,0)</f>
        <v>0</v>
      </c>
      <c r="W87">
        <f>1</f>
        <v>1</v>
      </c>
      <c r="X87">
        <f>Teacher_Data[[#This Row],[End_Date]]-Teacher_Data[[#This Row],[Start_Date]]</f>
        <v>48</v>
      </c>
      <c r="Y87" t="str">
        <f>_xlfn.IFS(Teacher_Data[[#This Row],[Experience_Years]]&lt;=5,"0-5 Years",Teacher_Data[[#This Row],[Experience_Years]]&lt;=10,"5-10 Years",Teacher_Data[[#This Row],[Experience_Years]]&lt;=20,"11-20 Years",TRUE,"20+ Years")</f>
        <v>20+ Years</v>
      </c>
    </row>
    <row r="88" spans="1:25" x14ac:dyDescent="0.3">
      <c r="A88" t="s">
        <v>266</v>
      </c>
      <c r="B88" t="s">
        <v>79</v>
      </c>
      <c r="C88" t="s">
        <v>22</v>
      </c>
      <c r="D88">
        <v>57</v>
      </c>
      <c r="E88" t="s">
        <v>36</v>
      </c>
      <c r="F88" t="s">
        <v>83</v>
      </c>
      <c r="G88" t="s">
        <v>45</v>
      </c>
      <c r="H88" t="s">
        <v>39</v>
      </c>
      <c r="I88" t="s">
        <v>51</v>
      </c>
      <c r="J88" s="1">
        <v>45475</v>
      </c>
      <c r="K88" s="1">
        <v>45520</v>
      </c>
      <c r="L88" t="s">
        <v>60</v>
      </c>
      <c r="M88" s="2">
        <v>20</v>
      </c>
      <c r="O88" t="s">
        <v>29</v>
      </c>
      <c r="P88">
        <v>40</v>
      </c>
      <c r="Q88" t="s">
        <v>40</v>
      </c>
      <c r="R88" t="s">
        <v>72</v>
      </c>
      <c r="S88" t="s">
        <v>267</v>
      </c>
      <c r="T88">
        <v>30</v>
      </c>
      <c r="U88" t="str">
        <f>IF(Teacher_Data[[#This Row],[Completion_Status]]="Completed","Yes","No")</f>
        <v>No</v>
      </c>
      <c r="V88">
        <f>IF(Teacher_Data[[#This Row],[Completion_Status]]="Completed",1,0)</f>
        <v>0</v>
      </c>
      <c r="W88">
        <f>1</f>
        <v>1</v>
      </c>
      <c r="X88">
        <f>Teacher_Data[[#This Row],[End_Date]]-Teacher_Data[[#This Row],[Start_Date]]</f>
        <v>45</v>
      </c>
      <c r="Y88" t="str">
        <f>_xlfn.IFS(Teacher_Data[[#This Row],[Experience_Years]]&lt;=5,"0-5 Years",Teacher_Data[[#This Row],[Experience_Years]]&lt;=10,"5-10 Years",Teacher_Data[[#This Row],[Experience_Years]]&lt;=20,"11-20 Years",TRUE,"20+ Years")</f>
        <v>20+ Years</v>
      </c>
    </row>
    <row r="89" spans="1:25" x14ac:dyDescent="0.3">
      <c r="A89" t="s">
        <v>268</v>
      </c>
      <c r="B89" t="s">
        <v>99</v>
      </c>
      <c r="C89" t="s">
        <v>22</v>
      </c>
      <c r="D89">
        <v>37</v>
      </c>
      <c r="E89" t="s">
        <v>66</v>
      </c>
      <c r="F89" t="s">
        <v>37</v>
      </c>
      <c r="G89" t="s">
        <v>45</v>
      </c>
      <c r="H89" t="s">
        <v>59</v>
      </c>
      <c r="I89" t="s">
        <v>46</v>
      </c>
      <c r="J89" s="1">
        <v>45580</v>
      </c>
      <c r="K89" s="1">
        <v>45637</v>
      </c>
      <c r="L89" t="s">
        <v>60</v>
      </c>
      <c r="M89" s="2">
        <v>31</v>
      </c>
      <c r="O89" t="s">
        <v>29</v>
      </c>
      <c r="P89">
        <v>29</v>
      </c>
      <c r="Q89" t="s">
        <v>61</v>
      </c>
      <c r="R89" t="s">
        <v>41</v>
      </c>
      <c r="S89" t="s">
        <v>269</v>
      </c>
      <c r="T89">
        <v>4</v>
      </c>
      <c r="U89" t="str">
        <f>IF(Teacher_Data[[#This Row],[Completion_Status]]="Completed","Yes","No")</f>
        <v>No</v>
      </c>
      <c r="V89">
        <f>IF(Teacher_Data[[#This Row],[Completion_Status]]="Completed",1,0)</f>
        <v>0</v>
      </c>
      <c r="W89">
        <f>1</f>
        <v>1</v>
      </c>
      <c r="X89">
        <f>Teacher_Data[[#This Row],[End_Date]]-Teacher_Data[[#This Row],[Start_Date]]</f>
        <v>57</v>
      </c>
      <c r="Y89" t="str">
        <f>_xlfn.IFS(Teacher_Data[[#This Row],[Experience_Years]]&lt;=5,"0-5 Years",Teacher_Data[[#This Row],[Experience_Years]]&lt;=10,"5-10 Years",Teacher_Data[[#This Row],[Experience_Years]]&lt;=20,"11-20 Years",TRUE,"20+ Years")</f>
        <v>0-5 Years</v>
      </c>
    </row>
    <row r="90" spans="1:25" x14ac:dyDescent="0.3">
      <c r="A90" t="s">
        <v>270</v>
      </c>
      <c r="B90" t="s">
        <v>34</v>
      </c>
      <c r="C90" t="s">
        <v>35</v>
      </c>
      <c r="D90">
        <v>33</v>
      </c>
      <c r="E90" t="s">
        <v>23</v>
      </c>
      <c r="F90" t="s">
        <v>24</v>
      </c>
      <c r="G90" t="s">
        <v>25</v>
      </c>
      <c r="H90" t="s">
        <v>59</v>
      </c>
      <c r="I90" t="s">
        <v>46</v>
      </c>
      <c r="J90" s="1">
        <v>45452</v>
      </c>
      <c r="K90" s="1">
        <v>45501</v>
      </c>
      <c r="L90" t="s">
        <v>60</v>
      </c>
      <c r="M90" s="2">
        <v>23</v>
      </c>
      <c r="O90" t="s">
        <v>29</v>
      </c>
      <c r="P90">
        <v>35</v>
      </c>
      <c r="Q90" t="s">
        <v>61</v>
      </c>
      <c r="R90" t="s">
        <v>41</v>
      </c>
      <c r="S90" t="s">
        <v>271</v>
      </c>
      <c r="T90">
        <v>21</v>
      </c>
      <c r="U90" t="str">
        <f>IF(Teacher_Data[[#This Row],[Completion_Status]]="Completed","Yes","No")</f>
        <v>No</v>
      </c>
      <c r="V90">
        <f>IF(Teacher_Data[[#This Row],[Completion_Status]]="Completed",1,0)</f>
        <v>0</v>
      </c>
      <c r="W90">
        <f>1</f>
        <v>1</v>
      </c>
      <c r="X90">
        <f>Teacher_Data[[#This Row],[End_Date]]-Teacher_Data[[#This Row],[Start_Date]]</f>
        <v>49</v>
      </c>
      <c r="Y90" t="str">
        <f>_xlfn.IFS(Teacher_Data[[#This Row],[Experience_Years]]&lt;=5,"0-5 Years",Teacher_Data[[#This Row],[Experience_Years]]&lt;=10,"5-10 Years",Teacher_Data[[#This Row],[Experience_Years]]&lt;=20,"11-20 Years",TRUE,"20+ Years")</f>
        <v>20+ Years</v>
      </c>
    </row>
    <row r="91" spans="1:25" x14ac:dyDescent="0.3">
      <c r="A91" t="s">
        <v>272</v>
      </c>
      <c r="B91" t="s">
        <v>179</v>
      </c>
      <c r="C91" t="s">
        <v>22</v>
      </c>
      <c r="D91">
        <v>58</v>
      </c>
      <c r="E91" t="s">
        <v>23</v>
      </c>
      <c r="F91" t="s">
        <v>83</v>
      </c>
      <c r="G91" t="s">
        <v>25</v>
      </c>
      <c r="H91" t="s">
        <v>39</v>
      </c>
      <c r="I91" t="s">
        <v>51</v>
      </c>
      <c r="J91" s="1">
        <v>45371</v>
      </c>
      <c r="K91" s="1">
        <v>45428</v>
      </c>
      <c r="L91" t="s">
        <v>28</v>
      </c>
      <c r="M91" s="2">
        <v>94</v>
      </c>
      <c r="O91" t="s">
        <v>29</v>
      </c>
      <c r="P91">
        <v>40</v>
      </c>
      <c r="Q91" t="s">
        <v>40</v>
      </c>
      <c r="R91" t="s">
        <v>31</v>
      </c>
      <c r="S91" t="s">
        <v>273</v>
      </c>
      <c r="T91">
        <v>31</v>
      </c>
      <c r="U91" t="str">
        <f>IF(Teacher_Data[[#This Row],[Completion_Status]]="Completed","Yes","No")</f>
        <v>No</v>
      </c>
      <c r="V91">
        <f>IF(Teacher_Data[[#This Row],[Completion_Status]]="Completed",1,0)</f>
        <v>0</v>
      </c>
      <c r="W91">
        <f>1</f>
        <v>1</v>
      </c>
      <c r="X91">
        <f>Teacher_Data[[#This Row],[End_Date]]-Teacher_Data[[#This Row],[Start_Date]]</f>
        <v>57</v>
      </c>
      <c r="Y91" t="str">
        <f>_xlfn.IFS(Teacher_Data[[#This Row],[Experience_Years]]&lt;=5,"0-5 Years",Teacher_Data[[#This Row],[Experience_Years]]&lt;=10,"5-10 Years",Teacher_Data[[#This Row],[Experience_Years]]&lt;=20,"11-20 Years",TRUE,"20+ Years")</f>
        <v>20+ Years</v>
      </c>
    </row>
    <row r="92" spans="1:25" x14ac:dyDescent="0.3">
      <c r="A92" t="s">
        <v>274</v>
      </c>
      <c r="B92" t="s">
        <v>214</v>
      </c>
      <c r="C92" t="s">
        <v>35</v>
      </c>
      <c r="D92">
        <v>31</v>
      </c>
      <c r="E92" t="s">
        <v>57</v>
      </c>
      <c r="F92" t="s">
        <v>100</v>
      </c>
      <c r="G92" t="s">
        <v>76</v>
      </c>
      <c r="H92" t="s">
        <v>59</v>
      </c>
      <c r="I92" t="s">
        <v>51</v>
      </c>
      <c r="J92" s="1">
        <v>45511</v>
      </c>
      <c r="K92" s="1">
        <v>45520</v>
      </c>
      <c r="L92" t="s">
        <v>60</v>
      </c>
      <c r="M92" s="2">
        <v>2</v>
      </c>
      <c r="O92" t="s">
        <v>29</v>
      </c>
      <c r="P92">
        <v>9</v>
      </c>
      <c r="Q92" t="s">
        <v>40</v>
      </c>
      <c r="R92" t="s">
        <v>41</v>
      </c>
      <c r="S92" t="s">
        <v>275</v>
      </c>
      <c r="T92">
        <v>17</v>
      </c>
      <c r="U92" t="str">
        <f>IF(Teacher_Data[[#This Row],[Completion_Status]]="Completed","Yes","No")</f>
        <v>No</v>
      </c>
      <c r="V92">
        <f>IF(Teacher_Data[[#This Row],[Completion_Status]]="Completed",1,0)</f>
        <v>0</v>
      </c>
      <c r="W92">
        <f>1</f>
        <v>1</v>
      </c>
      <c r="X92">
        <f>Teacher_Data[[#This Row],[End_Date]]-Teacher_Data[[#This Row],[Start_Date]]</f>
        <v>9</v>
      </c>
      <c r="Y92" t="str">
        <f>_xlfn.IFS(Teacher_Data[[#This Row],[Experience_Years]]&lt;=5,"0-5 Years",Teacher_Data[[#This Row],[Experience_Years]]&lt;=10,"5-10 Years",Teacher_Data[[#This Row],[Experience_Years]]&lt;=20,"11-20 Years",TRUE,"20+ Years")</f>
        <v>11-20 Years</v>
      </c>
    </row>
    <row r="93" spans="1:25" x14ac:dyDescent="0.3">
      <c r="A93" t="s">
        <v>276</v>
      </c>
      <c r="B93" t="s">
        <v>107</v>
      </c>
      <c r="C93" t="s">
        <v>22</v>
      </c>
      <c r="D93">
        <v>34</v>
      </c>
      <c r="E93" t="s">
        <v>36</v>
      </c>
      <c r="F93" t="s">
        <v>67</v>
      </c>
      <c r="G93" t="s">
        <v>58</v>
      </c>
      <c r="H93" t="s">
        <v>59</v>
      </c>
      <c r="I93" t="s">
        <v>27</v>
      </c>
      <c r="J93" s="1">
        <v>45379</v>
      </c>
      <c r="K93" s="1">
        <v>45409</v>
      </c>
      <c r="L93" t="s">
        <v>52</v>
      </c>
      <c r="M93" s="2">
        <v>53</v>
      </c>
      <c r="N93">
        <v>57</v>
      </c>
      <c r="O93" t="s">
        <v>53</v>
      </c>
      <c r="P93">
        <v>20</v>
      </c>
      <c r="Q93" t="s">
        <v>40</v>
      </c>
      <c r="R93" t="s">
        <v>72</v>
      </c>
      <c r="S93" t="s">
        <v>277</v>
      </c>
      <c r="T93">
        <v>2</v>
      </c>
      <c r="U93" t="str">
        <f>IF(Teacher_Data[[#This Row],[Completion_Status]]="Completed","Yes","No")</f>
        <v>Yes</v>
      </c>
      <c r="V93">
        <f>IF(Teacher_Data[[#This Row],[Completion_Status]]="Completed",1,0)</f>
        <v>1</v>
      </c>
      <c r="W93">
        <f>1</f>
        <v>1</v>
      </c>
      <c r="X93">
        <f>Teacher_Data[[#This Row],[End_Date]]-Teacher_Data[[#This Row],[Start_Date]]</f>
        <v>30</v>
      </c>
      <c r="Y93" t="str">
        <f>_xlfn.IFS(Teacher_Data[[#This Row],[Experience_Years]]&lt;=5,"0-5 Years",Teacher_Data[[#This Row],[Experience_Years]]&lt;=10,"5-10 Years",Teacher_Data[[#This Row],[Experience_Years]]&lt;=20,"11-20 Years",TRUE,"20+ Years")</f>
        <v>0-5 Years</v>
      </c>
    </row>
    <row r="94" spans="1:25" x14ac:dyDescent="0.3">
      <c r="A94" t="s">
        <v>278</v>
      </c>
      <c r="B94" t="s">
        <v>194</v>
      </c>
      <c r="C94" t="s">
        <v>35</v>
      </c>
      <c r="D94">
        <v>41</v>
      </c>
      <c r="E94" t="s">
        <v>57</v>
      </c>
      <c r="F94" t="s">
        <v>37</v>
      </c>
      <c r="G94" t="s">
        <v>76</v>
      </c>
      <c r="H94" t="s">
        <v>50</v>
      </c>
      <c r="I94" t="s">
        <v>51</v>
      </c>
      <c r="J94" s="1">
        <v>45396</v>
      </c>
      <c r="K94" s="1">
        <v>45418</v>
      </c>
      <c r="L94" t="s">
        <v>60</v>
      </c>
      <c r="M94" s="2">
        <v>32</v>
      </c>
      <c r="O94" t="s">
        <v>29</v>
      </c>
      <c r="P94">
        <v>37</v>
      </c>
      <c r="Q94" t="s">
        <v>30</v>
      </c>
      <c r="R94" t="s">
        <v>72</v>
      </c>
      <c r="S94" t="s">
        <v>279</v>
      </c>
      <c r="T94">
        <v>30</v>
      </c>
      <c r="U94" t="str">
        <f>IF(Teacher_Data[[#This Row],[Completion_Status]]="Completed","Yes","No")</f>
        <v>No</v>
      </c>
      <c r="V94">
        <f>IF(Teacher_Data[[#This Row],[Completion_Status]]="Completed",1,0)</f>
        <v>0</v>
      </c>
      <c r="W94">
        <f>1</f>
        <v>1</v>
      </c>
      <c r="X94">
        <f>Teacher_Data[[#This Row],[End_Date]]-Teacher_Data[[#This Row],[Start_Date]]</f>
        <v>22</v>
      </c>
      <c r="Y94" t="str">
        <f>_xlfn.IFS(Teacher_Data[[#This Row],[Experience_Years]]&lt;=5,"0-5 Years",Teacher_Data[[#This Row],[Experience_Years]]&lt;=10,"5-10 Years",Teacher_Data[[#This Row],[Experience_Years]]&lt;=20,"11-20 Years",TRUE,"20+ Years")</f>
        <v>20+ Years</v>
      </c>
    </row>
    <row r="95" spans="1:25" x14ac:dyDescent="0.3">
      <c r="A95" t="s">
        <v>280</v>
      </c>
      <c r="B95" t="s">
        <v>281</v>
      </c>
      <c r="C95" t="s">
        <v>35</v>
      </c>
      <c r="D95">
        <v>42</v>
      </c>
      <c r="E95" t="s">
        <v>36</v>
      </c>
      <c r="F95" t="s">
        <v>37</v>
      </c>
      <c r="G95" t="s">
        <v>45</v>
      </c>
      <c r="H95" t="s">
        <v>39</v>
      </c>
      <c r="I95" t="s">
        <v>51</v>
      </c>
      <c r="J95" s="1">
        <v>45311</v>
      </c>
      <c r="K95" s="1">
        <v>45325</v>
      </c>
      <c r="L95" t="s">
        <v>52</v>
      </c>
      <c r="M95" s="2">
        <v>50</v>
      </c>
      <c r="N95">
        <v>85</v>
      </c>
      <c r="O95" t="s">
        <v>53</v>
      </c>
      <c r="P95">
        <v>19</v>
      </c>
      <c r="Q95" t="s">
        <v>40</v>
      </c>
      <c r="R95" t="s">
        <v>104</v>
      </c>
      <c r="S95" t="s">
        <v>282</v>
      </c>
      <c r="T95">
        <v>18</v>
      </c>
      <c r="U95" t="str">
        <f>IF(Teacher_Data[[#This Row],[Completion_Status]]="Completed","Yes","No")</f>
        <v>Yes</v>
      </c>
      <c r="V95">
        <f>IF(Teacher_Data[[#This Row],[Completion_Status]]="Completed",1,0)</f>
        <v>1</v>
      </c>
      <c r="W95">
        <f>1</f>
        <v>1</v>
      </c>
      <c r="X95">
        <f>Teacher_Data[[#This Row],[End_Date]]-Teacher_Data[[#This Row],[Start_Date]]</f>
        <v>14</v>
      </c>
      <c r="Y95" t="str">
        <f>_xlfn.IFS(Teacher_Data[[#This Row],[Experience_Years]]&lt;=5,"0-5 Years",Teacher_Data[[#This Row],[Experience_Years]]&lt;=10,"5-10 Years",Teacher_Data[[#This Row],[Experience_Years]]&lt;=20,"11-20 Years",TRUE,"20+ Years")</f>
        <v>11-20 Years</v>
      </c>
    </row>
    <row r="96" spans="1:25" x14ac:dyDescent="0.3">
      <c r="A96" t="s">
        <v>283</v>
      </c>
      <c r="B96" t="s">
        <v>107</v>
      </c>
      <c r="C96" t="s">
        <v>22</v>
      </c>
      <c r="D96">
        <v>58</v>
      </c>
      <c r="E96" t="s">
        <v>23</v>
      </c>
      <c r="F96" t="s">
        <v>67</v>
      </c>
      <c r="G96" t="s">
        <v>58</v>
      </c>
      <c r="H96" t="s">
        <v>59</v>
      </c>
      <c r="I96" t="s">
        <v>51</v>
      </c>
      <c r="J96" s="1">
        <v>45513</v>
      </c>
      <c r="K96" s="1">
        <v>45531</v>
      </c>
      <c r="L96" t="s">
        <v>28</v>
      </c>
      <c r="M96" s="2">
        <v>57</v>
      </c>
      <c r="O96" t="s">
        <v>29</v>
      </c>
      <c r="P96">
        <v>8</v>
      </c>
      <c r="Q96" t="s">
        <v>61</v>
      </c>
      <c r="R96" t="s">
        <v>104</v>
      </c>
      <c r="S96" t="s">
        <v>284</v>
      </c>
      <c r="T96">
        <v>25</v>
      </c>
      <c r="U96" t="str">
        <f>IF(Teacher_Data[[#This Row],[Completion_Status]]="Completed","Yes","No")</f>
        <v>No</v>
      </c>
      <c r="V96">
        <f>IF(Teacher_Data[[#This Row],[Completion_Status]]="Completed",1,0)</f>
        <v>0</v>
      </c>
      <c r="W96">
        <f>1</f>
        <v>1</v>
      </c>
      <c r="X96">
        <f>Teacher_Data[[#This Row],[End_Date]]-Teacher_Data[[#This Row],[Start_Date]]</f>
        <v>18</v>
      </c>
      <c r="Y96" t="str">
        <f>_xlfn.IFS(Teacher_Data[[#This Row],[Experience_Years]]&lt;=5,"0-5 Years",Teacher_Data[[#This Row],[Experience_Years]]&lt;=10,"5-10 Years",Teacher_Data[[#This Row],[Experience_Years]]&lt;=20,"11-20 Years",TRUE,"20+ Years")</f>
        <v>20+ Years</v>
      </c>
    </row>
    <row r="97" spans="1:25" x14ac:dyDescent="0.3">
      <c r="A97" t="s">
        <v>285</v>
      </c>
      <c r="B97" t="s">
        <v>124</v>
      </c>
      <c r="C97" t="s">
        <v>35</v>
      </c>
      <c r="D97">
        <v>50</v>
      </c>
      <c r="E97" t="s">
        <v>36</v>
      </c>
      <c r="F97" t="s">
        <v>100</v>
      </c>
      <c r="G97" t="s">
        <v>25</v>
      </c>
      <c r="H97" t="s">
        <v>26</v>
      </c>
      <c r="I97" t="s">
        <v>46</v>
      </c>
      <c r="J97" s="1">
        <v>45447</v>
      </c>
      <c r="K97" s="1">
        <v>45500</v>
      </c>
      <c r="L97" t="s">
        <v>60</v>
      </c>
      <c r="M97" s="2">
        <v>10</v>
      </c>
      <c r="O97" t="s">
        <v>29</v>
      </c>
      <c r="P97">
        <v>37</v>
      </c>
      <c r="Q97" t="s">
        <v>30</v>
      </c>
      <c r="R97" t="s">
        <v>31</v>
      </c>
      <c r="S97" t="s">
        <v>286</v>
      </c>
      <c r="T97">
        <v>10</v>
      </c>
      <c r="U97" t="str">
        <f>IF(Teacher_Data[[#This Row],[Completion_Status]]="Completed","Yes","No")</f>
        <v>No</v>
      </c>
      <c r="V97">
        <f>IF(Teacher_Data[[#This Row],[Completion_Status]]="Completed",1,0)</f>
        <v>0</v>
      </c>
      <c r="W97">
        <f>1</f>
        <v>1</v>
      </c>
      <c r="X97">
        <f>Teacher_Data[[#This Row],[End_Date]]-Teacher_Data[[#This Row],[Start_Date]]</f>
        <v>53</v>
      </c>
      <c r="Y97" t="str">
        <f>_xlfn.IFS(Teacher_Data[[#This Row],[Experience_Years]]&lt;=5,"0-5 Years",Teacher_Data[[#This Row],[Experience_Years]]&lt;=10,"5-10 Years",Teacher_Data[[#This Row],[Experience_Years]]&lt;=20,"11-20 Years",TRUE,"20+ Years")</f>
        <v>5-10 Years</v>
      </c>
    </row>
    <row r="98" spans="1:25" x14ac:dyDescent="0.3">
      <c r="A98" t="s">
        <v>287</v>
      </c>
      <c r="B98" t="s">
        <v>140</v>
      </c>
      <c r="C98" t="s">
        <v>35</v>
      </c>
      <c r="D98">
        <v>28</v>
      </c>
      <c r="E98" t="s">
        <v>66</v>
      </c>
      <c r="F98" t="s">
        <v>37</v>
      </c>
      <c r="G98" t="s">
        <v>38</v>
      </c>
      <c r="H98" t="s">
        <v>26</v>
      </c>
      <c r="I98" t="s">
        <v>27</v>
      </c>
      <c r="J98" s="1">
        <v>45516</v>
      </c>
      <c r="K98" s="1">
        <v>45524</v>
      </c>
      <c r="L98" t="s">
        <v>60</v>
      </c>
      <c r="M98" s="2">
        <v>16</v>
      </c>
      <c r="O98" t="s">
        <v>29</v>
      </c>
      <c r="P98">
        <v>22</v>
      </c>
      <c r="Q98" t="s">
        <v>40</v>
      </c>
      <c r="R98" t="s">
        <v>62</v>
      </c>
      <c r="S98" t="s">
        <v>288</v>
      </c>
      <c r="T98">
        <v>34</v>
      </c>
      <c r="U98" t="str">
        <f>IF(Teacher_Data[[#This Row],[Completion_Status]]="Completed","Yes","No")</f>
        <v>No</v>
      </c>
      <c r="V98">
        <f>IF(Teacher_Data[[#This Row],[Completion_Status]]="Completed",1,0)</f>
        <v>0</v>
      </c>
      <c r="W98">
        <f>1</f>
        <v>1</v>
      </c>
      <c r="X98">
        <f>Teacher_Data[[#This Row],[End_Date]]-Teacher_Data[[#This Row],[Start_Date]]</f>
        <v>8</v>
      </c>
      <c r="Y98" t="str">
        <f>_xlfn.IFS(Teacher_Data[[#This Row],[Experience_Years]]&lt;=5,"0-5 Years",Teacher_Data[[#This Row],[Experience_Years]]&lt;=10,"5-10 Years",Teacher_Data[[#This Row],[Experience_Years]]&lt;=20,"11-20 Years",TRUE,"20+ Years")</f>
        <v>20+ Years</v>
      </c>
    </row>
    <row r="99" spans="1:25" x14ac:dyDescent="0.3">
      <c r="A99" t="s">
        <v>289</v>
      </c>
      <c r="B99" t="s">
        <v>86</v>
      </c>
      <c r="C99" t="s">
        <v>35</v>
      </c>
      <c r="D99">
        <v>43</v>
      </c>
      <c r="E99" t="s">
        <v>23</v>
      </c>
      <c r="F99" t="s">
        <v>100</v>
      </c>
      <c r="G99" t="s">
        <v>76</v>
      </c>
      <c r="H99" t="s">
        <v>50</v>
      </c>
      <c r="I99" t="s">
        <v>27</v>
      </c>
      <c r="J99" s="1">
        <v>45579</v>
      </c>
      <c r="K99" s="1">
        <v>45624</v>
      </c>
      <c r="L99" t="s">
        <v>52</v>
      </c>
      <c r="M99" s="2">
        <v>97</v>
      </c>
      <c r="N99">
        <v>79</v>
      </c>
      <c r="O99" t="s">
        <v>53</v>
      </c>
      <c r="P99">
        <v>49</v>
      </c>
      <c r="Q99" t="s">
        <v>61</v>
      </c>
      <c r="R99" t="s">
        <v>41</v>
      </c>
      <c r="S99" t="s">
        <v>290</v>
      </c>
      <c r="T99">
        <v>14</v>
      </c>
      <c r="U99" t="str">
        <f>IF(Teacher_Data[[#This Row],[Completion_Status]]="Completed","Yes","No")</f>
        <v>Yes</v>
      </c>
      <c r="V99">
        <f>IF(Teacher_Data[[#This Row],[Completion_Status]]="Completed",1,0)</f>
        <v>1</v>
      </c>
      <c r="W99">
        <f>1</f>
        <v>1</v>
      </c>
      <c r="X99">
        <f>Teacher_Data[[#This Row],[End_Date]]-Teacher_Data[[#This Row],[Start_Date]]</f>
        <v>45</v>
      </c>
      <c r="Y99" t="str">
        <f>_xlfn.IFS(Teacher_Data[[#This Row],[Experience_Years]]&lt;=5,"0-5 Years",Teacher_Data[[#This Row],[Experience_Years]]&lt;=10,"5-10 Years",Teacher_Data[[#This Row],[Experience_Years]]&lt;=20,"11-20 Years",TRUE,"20+ Years")</f>
        <v>11-20 Years</v>
      </c>
    </row>
    <row r="100" spans="1:25" x14ac:dyDescent="0.3">
      <c r="A100" t="s">
        <v>291</v>
      </c>
      <c r="B100" t="s">
        <v>21</v>
      </c>
      <c r="C100" t="s">
        <v>22</v>
      </c>
      <c r="D100">
        <v>41</v>
      </c>
      <c r="E100" t="s">
        <v>36</v>
      </c>
      <c r="F100" t="s">
        <v>67</v>
      </c>
      <c r="G100" t="s">
        <v>25</v>
      </c>
      <c r="H100" t="s">
        <v>59</v>
      </c>
      <c r="I100" t="s">
        <v>27</v>
      </c>
      <c r="J100" s="1">
        <v>45339</v>
      </c>
      <c r="K100" s="1">
        <v>45348</v>
      </c>
      <c r="L100" t="s">
        <v>60</v>
      </c>
      <c r="M100" s="2">
        <v>20</v>
      </c>
      <c r="O100" t="s">
        <v>29</v>
      </c>
      <c r="P100">
        <v>7</v>
      </c>
      <c r="Q100" t="s">
        <v>30</v>
      </c>
      <c r="R100" t="s">
        <v>72</v>
      </c>
      <c r="S100" t="s">
        <v>292</v>
      </c>
      <c r="T100">
        <v>18</v>
      </c>
      <c r="U100" t="str">
        <f>IF(Teacher_Data[[#This Row],[Completion_Status]]="Completed","Yes","No")</f>
        <v>No</v>
      </c>
      <c r="V100">
        <f>IF(Teacher_Data[[#This Row],[Completion_Status]]="Completed",1,0)</f>
        <v>0</v>
      </c>
      <c r="W100">
        <f>1</f>
        <v>1</v>
      </c>
      <c r="X100">
        <f>Teacher_Data[[#This Row],[End_Date]]-Teacher_Data[[#This Row],[Start_Date]]</f>
        <v>9</v>
      </c>
      <c r="Y100" t="str">
        <f>_xlfn.IFS(Teacher_Data[[#This Row],[Experience_Years]]&lt;=5,"0-5 Years",Teacher_Data[[#This Row],[Experience_Years]]&lt;=10,"5-10 Years",Teacher_Data[[#This Row],[Experience_Years]]&lt;=20,"11-20 Years",TRUE,"20+ Years")</f>
        <v>11-20 Years</v>
      </c>
    </row>
    <row r="101" spans="1:25" x14ac:dyDescent="0.3">
      <c r="A101" t="s">
        <v>293</v>
      </c>
      <c r="B101" t="s">
        <v>21</v>
      </c>
      <c r="C101" t="s">
        <v>35</v>
      </c>
      <c r="D101">
        <v>40</v>
      </c>
      <c r="E101" t="s">
        <v>23</v>
      </c>
      <c r="F101" t="s">
        <v>100</v>
      </c>
      <c r="G101" t="s">
        <v>58</v>
      </c>
      <c r="H101" t="s">
        <v>50</v>
      </c>
      <c r="I101" t="s">
        <v>46</v>
      </c>
      <c r="J101" s="1">
        <v>45405</v>
      </c>
      <c r="K101" s="1">
        <v>45445</v>
      </c>
      <c r="L101" t="s">
        <v>60</v>
      </c>
      <c r="M101" s="2">
        <v>2</v>
      </c>
      <c r="O101" t="s">
        <v>29</v>
      </c>
      <c r="P101">
        <v>30</v>
      </c>
      <c r="Q101" t="s">
        <v>40</v>
      </c>
      <c r="R101" t="s">
        <v>41</v>
      </c>
      <c r="S101" t="s">
        <v>294</v>
      </c>
      <c r="T101">
        <v>32</v>
      </c>
      <c r="U101" t="str">
        <f>IF(Teacher_Data[[#This Row],[Completion_Status]]="Completed","Yes","No")</f>
        <v>No</v>
      </c>
      <c r="V101">
        <f>IF(Teacher_Data[[#This Row],[Completion_Status]]="Completed",1,0)</f>
        <v>0</v>
      </c>
      <c r="W101">
        <f>1</f>
        <v>1</v>
      </c>
      <c r="X101">
        <f>Teacher_Data[[#This Row],[End_Date]]-Teacher_Data[[#This Row],[Start_Date]]</f>
        <v>40</v>
      </c>
      <c r="Y101" t="str">
        <f>_xlfn.IFS(Teacher_Data[[#This Row],[Experience_Years]]&lt;=5,"0-5 Years",Teacher_Data[[#This Row],[Experience_Years]]&lt;=10,"5-10 Years",Teacher_Data[[#This Row],[Experience_Years]]&lt;=20,"11-20 Years",TRUE,"20+ Years")</f>
        <v>20+ Years</v>
      </c>
    </row>
    <row r="102" spans="1:25" x14ac:dyDescent="0.3">
      <c r="A102" t="s">
        <v>295</v>
      </c>
      <c r="B102" t="s">
        <v>238</v>
      </c>
      <c r="C102" t="s">
        <v>22</v>
      </c>
      <c r="D102">
        <v>56</v>
      </c>
      <c r="E102" t="s">
        <v>57</v>
      </c>
      <c r="F102" t="s">
        <v>24</v>
      </c>
      <c r="G102" t="s">
        <v>45</v>
      </c>
      <c r="H102" t="s">
        <v>39</v>
      </c>
      <c r="I102" t="s">
        <v>51</v>
      </c>
      <c r="J102" s="1">
        <v>45442</v>
      </c>
      <c r="K102" s="1">
        <v>45492</v>
      </c>
      <c r="L102" t="s">
        <v>28</v>
      </c>
      <c r="M102" s="2">
        <v>89</v>
      </c>
      <c r="O102" t="s">
        <v>29</v>
      </c>
      <c r="P102">
        <v>52</v>
      </c>
      <c r="Q102" t="s">
        <v>61</v>
      </c>
      <c r="R102" t="s">
        <v>72</v>
      </c>
      <c r="S102" t="s">
        <v>296</v>
      </c>
      <c r="T102">
        <v>29</v>
      </c>
      <c r="U102" t="str">
        <f>IF(Teacher_Data[[#This Row],[Completion_Status]]="Completed","Yes","No")</f>
        <v>No</v>
      </c>
      <c r="V102">
        <f>IF(Teacher_Data[[#This Row],[Completion_Status]]="Completed",1,0)</f>
        <v>0</v>
      </c>
      <c r="W102">
        <f>1</f>
        <v>1</v>
      </c>
      <c r="X102">
        <f>Teacher_Data[[#This Row],[End_Date]]-Teacher_Data[[#This Row],[Start_Date]]</f>
        <v>50</v>
      </c>
      <c r="Y102" t="str">
        <f>_xlfn.IFS(Teacher_Data[[#This Row],[Experience_Years]]&lt;=5,"0-5 Years",Teacher_Data[[#This Row],[Experience_Years]]&lt;=10,"5-10 Years",Teacher_Data[[#This Row],[Experience_Years]]&lt;=20,"11-20 Years",TRUE,"20+ Years")</f>
        <v>20+ Years</v>
      </c>
    </row>
    <row r="103" spans="1:25" x14ac:dyDescent="0.3">
      <c r="A103" t="s">
        <v>297</v>
      </c>
      <c r="B103" t="s">
        <v>167</v>
      </c>
      <c r="C103" t="s">
        <v>22</v>
      </c>
      <c r="D103">
        <v>54</v>
      </c>
      <c r="E103" t="s">
        <v>57</v>
      </c>
      <c r="F103" t="s">
        <v>24</v>
      </c>
      <c r="G103" t="s">
        <v>25</v>
      </c>
      <c r="H103" t="s">
        <v>26</v>
      </c>
      <c r="I103" t="s">
        <v>51</v>
      </c>
      <c r="J103" s="1">
        <v>45383</v>
      </c>
      <c r="K103" s="1">
        <v>45425</v>
      </c>
      <c r="L103" t="s">
        <v>52</v>
      </c>
      <c r="M103" s="2">
        <v>96</v>
      </c>
      <c r="N103">
        <v>57</v>
      </c>
      <c r="O103" t="s">
        <v>53</v>
      </c>
      <c r="P103">
        <v>13</v>
      </c>
      <c r="Q103" t="s">
        <v>40</v>
      </c>
      <c r="R103" t="s">
        <v>41</v>
      </c>
      <c r="S103" t="s">
        <v>298</v>
      </c>
      <c r="T103">
        <v>3</v>
      </c>
      <c r="U103" t="str">
        <f>IF(Teacher_Data[[#This Row],[Completion_Status]]="Completed","Yes","No")</f>
        <v>Yes</v>
      </c>
      <c r="V103">
        <f>IF(Teacher_Data[[#This Row],[Completion_Status]]="Completed",1,0)</f>
        <v>1</v>
      </c>
      <c r="W103">
        <f>1</f>
        <v>1</v>
      </c>
      <c r="X103">
        <f>Teacher_Data[[#This Row],[End_Date]]-Teacher_Data[[#This Row],[Start_Date]]</f>
        <v>42</v>
      </c>
      <c r="Y103" t="str">
        <f>_xlfn.IFS(Teacher_Data[[#This Row],[Experience_Years]]&lt;=5,"0-5 Years",Teacher_Data[[#This Row],[Experience_Years]]&lt;=10,"5-10 Years",Teacher_Data[[#This Row],[Experience_Years]]&lt;=20,"11-20 Years",TRUE,"20+ Years")</f>
        <v>0-5 Years</v>
      </c>
    </row>
    <row r="104" spans="1:25" x14ac:dyDescent="0.3">
      <c r="A104" t="s">
        <v>299</v>
      </c>
      <c r="B104" t="s">
        <v>115</v>
      </c>
      <c r="C104" t="s">
        <v>22</v>
      </c>
      <c r="D104">
        <v>56</v>
      </c>
      <c r="E104" t="s">
        <v>57</v>
      </c>
      <c r="F104" t="s">
        <v>24</v>
      </c>
      <c r="G104" t="s">
        <v>38</v>
      </c>
      <c r="H104" t="s">
        <v>26</v>
      </c>
      <c r="I104" t="s">
        <v>51</v>
      </c>
      <c r="J104" s="1">
        <v>45515</v>
      </c>
      <c r="K104" s="1">
        <v>45557</v>
      </c>
      <c r="L104" t="s">
        <v>60</v>
      </c>
      <c r="M104" s="2">
        <v>22</v>
      </c>
      <c r="O104" t="s">
        <v>29</v>
      </c>
      <c r="P104">
        <v>40</v>
      </c>
      <c r="Q104" t="s">
        <v>61</v>
      </c>
      <c r="R104" t="s">
        <v>31</v>
      </c>
      <c r="S104" t="s">
        <v>300</v>
      </c>
      <c r="T104">
        <v>8</v>
      </c>
      <c r="U104" t="str">
        <f>IF(Teacher_Data[[#This Row],[Completion_Status]]="Completed","Yes","No")</f>
        <v>No</v>
      </c>
      <c r="V104">
        <f>IF(Teacher_Data[[#This Row],[Completion_Status]]="Completed",1,0)</f>
        <v>0</v>
      </c>
      <c r="W104">
        <f>1</f>
        <v>1</v>
      </c>
      <c r="X104">
        <f>Teacher_Data[[#This Row],[End_Date]]-Teacher_Data[[#This Row],[Start_Date]]</f>
        <v>42</v>
      </c>
      <c r="Y104" t="str">
        <f>_xlfn.IFS(Teacher_Data[[#This Row],[Experience_Years]]&lt;=5,"0-5 Years",Teacher_Data[[#This Row],[Experience_Years]]&lt;=10,"5-10 Years",Teacher_Data[[#This Row],[Experience_Years]]&lt;=20,"11-20 Years",TRUE,"20+ Years")</f>
        <v>5-10 Years</v>
      </c>
    </row>
    <row r="105" spans="1:25" x14ac:dyDescent="0.3">
      <c r="A105" t="s">
        <v>301</v>
      </c>
      <c r="B105" t="s">
        <v>110</v>
      </c>
      <c r="C105" t="s">
        <v>35</v>
      </c>
      <c r="D105">
        <v>24</v>
      </c>
      <c r="E105" t="s">
        <v>66</v>
      </c>
      <c r="F105" t="s">
        <v>83</v>
      </c>
      <c r="G105" t="s">
        <v>76</v>
      </c>
      <c r="H105" t="s">
        <v>50</v>
      </c>
      <c r="I105" t="s">
        <v>51</v>
      </c>
      <c r="J105" s="1">
        <v>45306</v>
      </c>
      <c r="K105" s="1">
        <v>45314</v>
      </c>
      <c r="L105" t="s">
        <v>60</v>
      </c>
      <c r="M105" s="2">
        <v>15</v>
      </c>
      <c r="O105" t="s">
        <v>29</v>
      </c>
      <c r="P105">
        <v>30</v>
      </c>
      <c r="Q105" t="s">
        <v>68</v>
      </c>
      <c r="R105" t="s">
        <v>31</v>
      </c>
      <c r="S105" t="s">
        <v>302</v>
      </c>
      <c r="T105">
        <v>30</v>
      </c>
      <c r="U105" t="str">
        <f>IF(Teacher_Data[[#This Row],[Completion_Status]]="Completed","Yes","No")</f>
        <v>No</v>
      </c>
      <c r="V105">
        <f>IF(Teacher_Data[[#This Row],[Completion_Status]]="Completed",1,0)</f>
        <v>0</v>
      </c>
      <c r="W105">
        <f>1</f>
        <v>1</v>
      </c>
      <c r="X105">
        <f>Teacher_Data[[#This Row],[End_Date]]-Teacher_Data[[#This Row],[Start_Date]]</f>
        <v>8</v>
      </c>
      <c r="Y105" t="str">
        <f>_xlfn.IFS(Teacher_Data[[#This Row],[Experience_Years]]&lt;=5,"0-5 Years",Teacher_Data[[#This Row],[Experience_Years]]&lt;=10,"5-10 Years",Teacher_Data[[#This Row],[Experience_Years]]&lt;=20,"11-20 Years",TRUE,"20+ Years")</f>
        <v>20+ Years</v>
      </c>
    </row>
    <row r="106" spans="1:25" x14ac:dyDescent="0.3">
      <c r="A106" t="s">
        <v>303</v>
      </c>
      <c r="B106" t="s">
        <v>34</v>
      </c>
      <c r="C106" t="s">
        <v>22</v>
      </c>
      <c r="D106">
        <v>26</v>
      </c>
      <c r="E106" t="s">
        <v>57</v>
      </c>
      <c r="F106" t="s">
        <v>67</v>
      </c>
      <c r="G106" t="s">
        <v>76</v>
      </c>
      <c r="H106" t="s">
        <v>26</v>
      </c>
      <c r="I106" t="s">
        <v>27</v>
      </c>
      <c r="J106" s="1">
        <v>45512</v>
      </c>
      <c r="K106" s="1">
        <v>45568</v>
      </c>
      <c r="L106" t="s">
        <v>60</v>
      </c>
      <c r="M106" s="2">
        <v>9</v>
      </c>
      <c r="O106" t="s">
        <v>29</v>
      </c>
      <c r="P106">
        <v>55</v>
      </c>
      <c r="Q106" t="s">
        <v>40</v>
      </c>
      <c r="R106" t="s">
        <v>104</v>
      </c>
      <c r="S106" t="s">
        <v>304</v>
      </c>
      <c r="T106">
        <v>20</v>
      </c>
      <c r="U106" t="str">
        <f>IF(Teacher_Data[[#This Row],[Completion_Status]]="Completed","Yes","No")</f>
        <v>No</v>
      </c>
      <c r="V106">
        <f>IF(Teacher_Data[[#This Row],[Completion_Status]]="Completed",1,0)</f>
        <v>0</v>
      </c>
      <c r="W106">
        <f>1</f>
        <v>1</v>
      </c>
      <c r="X106">
        <f>Teacher_Data[[#This Row],[End_Date]]-Teacher_Data[[#This Row],[Start_Date]]</f>
        <v>56</v>
      </c>
      <c r="Y106" t="str">
        <f>_xlfn.IFS(Teacher_Data[[#This Row],[Experience_Years]]&lt;=5,"0-5 Years",Teacher_Data[[#This Row],[Experience_Years]]&lt;=10,"5-10 Years",Teacher_Data[[#This Row],[Experience_Years]]&lt;=20,"11-20 Years",TRUE,"20+ Years")</f>
        <v>11-20 Years</v>
      </c>
    </row>
    <row r="107" spans="1:25" x14ac:dyDescent="0.3">
      <c r="A107" t="s">
        <v>305</v>
      </c>
      <c r="B107" t="s">
        <v>179</v>
      </c>
      <c r="C107" t="s">
        <v>22</v>
      </c>
      <c r="D107">
        <v>23</v>
      </c>
      <c r="E107" t="s">
        <v>57</v>
      </c>
      <c r="F107" t="s">
        <v>83</v>
      </c>
      <c r="G107" t="s">
        <v>38</v>
      </c>
      <c r="H107" t="s">
        <v>50</v>
      </c>
      <c r="I107" t="s">
        <v>51</v>
      </c>
      <c r="J107" s="1">
        <v>45577</v>
      </c>
      <c r="K107" s="1">
        <v>45631</v>
      </c>
      <c r="L107" t="s">
        <v>28</v>
      </c>
      <c r="M107" s="2">
        <v>75</v>
      </c>
      <c r="O107" t="s">
        <v>29</v>
      </c>
      <c r="P107">
        <v>8</v>
      </c>
      <c r="Q107" t="s">
        <v>40</v>
      </c>
      <c r="R107" t="s">
        <v>72</v>
      </c>
      <c r="S107" t="s">
        <v>306</v>
      </c>
      <c r="T107">
        <v>15</v>
      </c>
      <c r="U107" t="str">
        <f>IF(Teacher_Data[[#This Row],[Completion_Status]]="Completed","Yes","No")</f>
        <v>No</v>
      </c>
      <c r="V107">
        <f>IF(Teacher_Data[[#This Row],[Completion_Status]]="Completed",1,0)</f>
        <v>0</v>
      </c>
      <c r="W107">
        <f>1</f>
        <v>1</v>
      </c>
      <c r="X107">
        <f>Teacher_Data[[#This Row],[End_Date]]-Teacher_Data[[#This Row],[Start_Date]]</f>
        <v>54</v>
      </c>
      <c r="Y107" t="str">
        <f>_xlfn.IFS(Teacher_Data[[#This Row],[Experience_Years]]&lt;=5,"0-5 Years",Teacher_Data[[#This Row],[Experience_Years]]&lt;=10,"5-10 Years",Teacher_Data[[#This Row],[Experience_Years]]&lt;=20,"11-20 Years",TRUE,"20+ Years")</f>
        <v>11-20 Years</v>
      </c>
    </row>
    <row r="108" spans="1:25" x14ac:dyDescent="0.3">
      <c r="A108" t="s">
        <v>307</v>
      </c>
      <c r="B108" t="s">
        <v>308</v>
      </c>
      <c r="C108" t="s">
        <v>35</v>
      </c>
      <c r="D108">
        <v>24</v>
      </c>
      <c r="E108" t="s">
        <v>36</v>
      </c>
      <c r="F108" t="s">
        <v>37</v>
      </c>
      <c r="G108" t="s">
        <v>45</v>
      </c>
      <c r="H108" t="s">
        <v>59</v>
      </c>
      <c r="I108" t="s">
        <v>51</v>
      </c>
      <c r="J108" s="1">
        <v>45456</v>
      </c>
      <c r="K108" s="1">
        <v>45506</v>
      </c>
      <c r="L108" t="s">
        <v>28</v>
      </c>
      <c r="M108" s="2">
        <v>89</v>
      </c>
      <c r="O108" t="s">
        <v>29</v>
      </c>
      <c r="P108">
        <v>31</v>
      </c>
      <c r="Q108" t="s">
        <v>68</v>
      </c>
      <c r="R108" t="s">
        <v>62</v>
      </c>
      <c r="S108" t="s">
        <v>309</v>
      </c>
      <c r="T108">
        <v>1</v>
      </c>
      <c r="U108" t="str">
        <f>IF(Teacher_Data[[#This Row],[Completion_Status]]="Completed","Yes","No")</f>
        <v>No</v>
      </c>
      <c r="V108">
        <f>IF(Teacher_Data[[#This Row],[Completion_Status]]="Completed",1,0)</f>
        <v>0</v>
      </c>
      <c r="W108">
        <f>1</f>
        <v>1</v>
      </c>
      <c r="X108">
        <f>Teacher_Data[[#This Row],[End_Date]]-Teacher_Data[[#This Row],[Start_Date]]</f>
        <v>50</v>
      </c>
      <c r="Y108" t="str">
        <f>_xlfn.IFS(Teacher_Data[[#This Row],[Experience_Years]]&lt;=5,"0-5 Years",Teacher_Data[[#This Row],[Experience_Years]]&lt;=10,"5-10 Years",Teacher_Data[[#This Row],[Experience_Years]]&lt;=20,"11-20 Years",TRUE,"20+ Years")</f>
        <v>0-5 Years</v>
      </c>
    </row>
    <row r="109" spans="1:25" x14ac:dyDescent="0.3">
      <c r="A109" t="s">
        <v>310</v>
      </c>
      <c r="B109" t="s">
        <v>214</v>
      </c>
      <c r="C109" t="s">
        <v>22</v>
      </c>
      <c r="D109">
        <v>22</v>
      </c>
      <c r="E109" t="s">
        <v>57</v>
      </c>
      <c r="F109" t="s">
        <v>24</v>
      </c>
      <c r="G109" t="s">
        <v>45</v>
      </c>
      <c r="H109" t="s">
        <v>39</v>
      </c>
      <c r="I109" t="s">
        <v>46</v>
      </c>
      <c r="J109" s="1">
        <v>45581</v>
      </c>
      <c r="K109" s="1">
        <v>45600</v>
      </c>
      <c r="L109" t="s">
        <v>52</v>
      </c>
      <c r="M109" s="2">
        <v>44</v>
      </c>
      <c r="N109">
        <v>87</v>
      </c>
      <c r="O109" t="s">
        <v>53</v>
      </c>
      <c r="P109">
        <v>21</v>
      </c>
      <c r="Q109" t="s">
        <v>40</v>
      </c>
      <c r="R109" t="s">
        <v>72</v>
      </c>
      <c r="S109" t="s">
        <v>311</v>
      </c>
      <c r="T109">
        <v>22</v>
      </c>
      <c r="U109" t="str">
        <f>IF(Teacher_Data[[#This Row],[Completion_Status]]="Completed","Yes","No")</f>
        <v>Yes</v>
      </c>
      <c r="V109">
        <f>IF(Teacher_Data[[#This Row],[Completion_Status]]="Completed",1,0)</f>
        <v>1</v>
      </c>
      <c r="W109">
        <f>1</f>
        <v>1</v>
      </c>
      <c r="X109">
        <f>Teacher_Data[[#This Row],[End_Date]]-Teacher_Data[[#This Row],[Start_Date]]</f>
        <v>19</v>
      </c>
      <c r="Y109" t="str">
        <f>_xlfn.IFS(Teacher_Data[[#This Row],[Experience_Years]]&lt;=5,"0-5 Years",Teacher_Data[[#This Row],[Experience_Years]]&lt;=10,"5-10 Years",Teacher_Data[[#This Row],[Experience_Years]]&lt;=20,"11-20 Years",TRUE,"20+ Years")</f>
        <v>20+ Years</v>
      </c>
    </row>
    <row r="110" spans="1:25" x14ac:dyDescent="0.3">
      <c r="A110" t="s">
        <v>312</v>
      </c>
      <c r="B110" t="s">
        <v>99</v>
      </c>
      <c r="C110" t="s">
        <v>35</v>
      </c>
      <c r="D110">
        <v>33</v>
      </c>
      <c r="E110" t="s">
        <v>36</v>
      </c>
      <c r="F110" t="s">
        <v>24</v>
      </c>
      <c r="G110" t="s">
        <v>45</v>
      </c>
      <c r="H110" t="s">
        <v>50</v>
      </c>
      <c r="I110" t="s">
        <v>51</v>
      </c>
      <c r="J110" s="1">
        <v>45451</v>
      </c>
      <c r="K110" s="1">
        <v>45482</v>
      </c>
      <c r="L110" t="s">
        <v>28</v>
      </c>
      <c r="M110" s="2">
        <v>72</v>
      </c>
      <c r="O110" t="s">
        <v>29</v>
      </c>
      <c r="P110">
        <v>38</v>
      </c>
      <c r="Q110" t="s">
        <v>40</v>
      </c>
      <c r="R110" t="s">
        <v>41</v>
      </c>
      <c r="S110" t="s">
        <v>313</v>
      </c>
      <c r="T110">
        <v>14</v>
      </c>
      <c r="U110" t="str">
        <f>IF(Teacher_Data[[#This Row],[Completion_Status]]="Completed","Yes","No")</f>
        <v>No</v>
      </c>
      <c r="V110">
        <f>IF(Teacher_Data[[#This Row],[Completion_Status]]="Completed",1,0)</f>
        <v>0</v>
      </c>
      <c r="W110">
        <f>1</f>
        <v>1</v>
      </c>
      <c r="X110">
        <f>Teacher_Data[[#This Row],[End_Date]]-Teacher_Data[[#This Row],[Start_Date]]</f>
        <v>31</v>
      </c>
      <c r="Y110" t="str">
        <f>_xlfn.IFS(Teacher_Data[[#This Row],[Experience_Years]]&lt;=5,"0-5 Years",Teacher_Data[[#This Row],[Experience_Years]]&lt;=10,"5-10 Years",Teacher_Data[[#This Row],[Experience_Years]]&lt;=20,"11-20 Years",TRUE,"20+ Years")</f>
        <v>11-20 Years</v>
      </c>
    </row>
    <row r="111" spans="1:25" x14ac:dyDescent="0.3">
      <c r="A111" t="s">
        <v>314</v>
      </c>
      <c r="B111" t="s">
        <v>238</v>
      </c>
      <c r="C111" t="s">
        <v>22</v>
      </c>
      <c r="D111">
        <v>32</v>
      </c>
      <c r="E111" t="s">
        <v>66</v>
      </c>
      <c r="F111" t="s">
        <v>24</v>
      </c>
      <c r="G111" t="s">
        <v>76</v>
      </c>
      <c r="H111" t="s">
        <v>59</v>
      </c>
      <c r="I111" t="s">
        <v>27</v>
      </c>
      <c r="J111" s="1">
        <v>45564</v>
      </c>
      <c r="K111" s="1">
        <v>45597</v>
      </c>
      <c r="L111" t="s">
        <v>60</v>
      </c>
      <c r="M111" s="2">
        <v>36</v>
      </c>
      <c r="O111" t="s">
        <v>29</v>
      </c>
      <c r="P111">
        <v>21</v>
      </c>
      <c r="Q111" t="s">
        <v>40</v>
      </c>
      <c r="R111" t="s">
        <v>62</v>
      </c>
      <c r="S111" t="s">
        <v>315</v>
      </c>
      <c r="T111">
        <v>18</v>
      </c>
      <c r="U111" t="str">
        <f>IF(Teacher_Data[[#This Row],[Completion_Status]]="Completed","Yes","No")</f>
        <v>No</v>
      </c>
      <c r="V111">
        <f>IF(Teacher_Data[[#This Row],[Completion_Status]]="Completed",1,0)</f>
        <v>0</v>
      </c>
      <c r="W111">
        <f>1</f>
        <v>1</v>
      </c>
      <c r="X111">
        <f>Teacher_Data[[#This Row],[End_Date]]-Teacher_Data[[#This Row],[Start_Date]]</f>
        <v>33</v>
      </c>
      <c r="Y111" t="str">
        <f>_xlfn.IFS(Teacher_Data[[#This Row],[Experience_Years]]&lt;=5,"0-5 Years",Teacher_Data[[#This Row],[Experience_Years]]&lt;=10,"5-10 Years",Teacher_Data[[#This Row],[Experience_Years]]&lt;=20,"11-20 Years",TRUE,"20+ Years")</f>
        <v>11-20 Years</v>
      </c>
    </row>
    <row r="112" spans="1:25" x14ac:dyDescent="0.3">
      <c r="A112" t="s">
        <v>316</v>
      </c>
      <c r="B112" t="s">
        <v>156</v>
      </c>
      <c r="C112" t="s">
        <v>35</v>
      </c>
      <c r="D112">
        <v>48</v>
      </c>
      <c r="E112" t="s">
        <v>36</v>
      </c>
      <c r="F112" t="s">
        <v>24</v>
      </c>
      <c r="G112" t="s">
        <v>45</v>
      </c>
      <c r="H112" t="s">
        <v>50</v>
      </c>
      <c r="I112" t="s">
        <v>46</v>
      </c>
      <c r="J112" s="1">
        <v>45581</v>
      </c>
      <c r="K112" s="1">
        <v>45605</v>
      </c>
      <c r="L112" t="s">
        <v>28</v>
      </c>
      <c r="M112" s="2">
        <v>98</v>
      </c>
      <c r="O112" t="s">
        <v>29</v>
      </c>
      <c r="P112">
        <v>10</v>
      </c>
      <c r="Q112" t="s">
        <v>30</v>
      </c>
      <c r="R112" t="s">
        <v>41</v>
      </c>
      <c r="S112" t="s">
        <v>317</v>
      </c>
      <c r="T112">
        <v>6</v>
      </c>
      <c r="U112" t="str">
        <f>IF(Teacher_Data[[#This Row],[Completion_Status]]="Completed","Yes","No")</f>
        <v>No</v>
      </c>
      <c r="V112">
        <f>IF(Teacher_Data[[#This Row],[Completion_Status]]="Completed",1,0)</f>
        <v>0</v>
      </c>
      <c r="W112">
        <f>1</f>
        <v>1</v>
      </c>
      <c r="X112">
        <f>Teacher_Data[[#This Row],[End_Date]]-Teacher_Data[[#This Row],[Start_Date]]</f>
        <v>24</v>
      </c>
      <c r="Y112" t="str">
        <f>_xlfn.IFS(Teacher_Data[[#This Row],[Experience_Years]]&lt;=5,"0-5 Years",Teacher_Data[[#This Row],[Experience_Years]]&lt;=10,"5-10 Years",Teacher_Data[[#This Row],[Experience_Years]]&lt;=20,"11-20 Years",TRUE,"20+ Years")</f>
        <v>5-10 Years</v>
      </c>
    </row>
    <row r="113" spans="1:25" x14ac:dyDescent="0.3">
      <c r="A113" t="s">
        <v>318</v>
      </c>
      <c r="B113" t="s">
        <v>124</v>
      </c>
      <c r="C113" t="s">
        <v>22</v>
      </c>
      <c r="D113">
        <v>33</v>
      </c>
      <c r="E113" t="s">
        <v>57</v>
      </c>
      <c r="F113" t="s">
        <v>67</v>
      </c>
      <c r="G113" t="s">
        <v>58</v>
      </c>
      <c r="H113" t="s">
        <v>39</v>
      </c>
      <c r="I113" t="s">
        <v>27</v>
      </c>
      <c r="J113" s="1">
        <v>45462</v>
      </c>
      <c r="K113" s="1">
        <v>45471</v>
      </c>
      <c r="L113" t="s">
        <v>60</v>
      </c>
      <c r="M113" s="2">
        <v>15</v>
      </c>
      <c r="O113" t="s">
        <v>29</v>
      </c>
      <c r="P113">
        <v>30</v>
      </c>
      <c r="Q113" t="s">
        <v>68</v>
      </c>
      <c r="R113" t="s">
        <v>72</v>
      </c>
      <c r="S113" t="s">
        <v>319</v>
      </c>
      <c r="T113">
        <v>5</v>
      </c>
      <c r="U113" t="str">
        <f>IF(Teacher_Data[[#This Row],[Completion_Status]]="Completed","Yes","No")</f>
        <v>No</v>
      </c>
      <c r="V113">
        <f>IF(Teacher_Data[[#This Row],[Completion_Status]]="Completed",1,0)</f>
        <v>0</v>
      </c>
      <c r="W113">
        <f>1</f>
        <v>1</v>
      </c>
      <c r="X113">
        <f>Teacher_Data[[#This Row],[End_Date]]-Teacher_Data[[#This Row],[Start_Date]]</f>
        <v>9</v>
      </c>
      <c r="Y113" t="str">
        <f>_xlfn.IFS(Teacher_Data[[#This Row],[Experience_Years]]&lt;=5,"0-5 Years",Teacher_Data[[#This Row],[Experience_Years]]&lt;=10,"5-10 Years",Teacher_Data[[#This Row],[Experience_Years]]&lt;=20,"11-20 Years",TRUE,"20+ Years")</f>
        <v>0-5 Years</v>
      </c>
    </row>
    <row r="114" spans="1:25" x14ac:dyDescent="0.3">
      <c r="A114" t="s">
        <v>320</v>
      </c>
      <c r="B114" t="s">
        <v>107</v>
      </c>
      <c r="C114" t="s">
        <v>22</v>
      </c>
      <c r="D114">
        <v>35</v>
      </c>
      <c r="E114" t="s">
        <v>23</v>
      </c>
      <c r="F114" t="s">
        <v>100</v>
      </c>
      <c r="G114" t="s">
        <v>38</v>
      </c>
      <c r="H114" t="s">
        <v>26</v>
      </c>
      <c r="I114" t="s">
        <v>27</v>
      </c>
      <c r="J114" s="1">
        <v>45355</v>
      </c>
      <c r="K114" s="1">
        <v>45400</v>
      </c>
      <c r="L114" t="s">
        <v>52</v>
      </c>
      <c r="M114" s="2">
        <v>59</v>
      </c>
      <c r="N114">
        <v>93</v>
      </c>
      <c r="O114" t="s">
        <v>53</v>
      </c>
      <c r="P114">
        <v>17</v>
      </c>
      <c r="Q114" t="s">
        <v>30</v>
      </c>
      <c r="R114" t="s">
        <v>72</v>
      </c>
      <c r="S114" t="s">
        <v>321</v>
      </c>
      <c r="T114">
        <v>32</v>
      </c>
      <c r="U114" t="str">
        <f>IF(Teacher_Data[[#This Row],[Completion_Status]]="Completed","Yes","No")</f>
        <v>Yes</v>
      </c>
      <c r="V114">
        <f>IF(Teacher_Data[[#This Row],[Completion_Status]]="Completed",1,0)</f>
        <v>1</v>
      </c>
      <c r="W114">
        <f>1</f>
        <v>1</v>
      </c>
      <c r="X114">
        <f>Teacher_Data[[#This Row],[End_Date]]-Teacher_Data[[#This Row],[Start_Date]]</f>
        <v>45</v>
      </c>
      <c r="Y114" t="str">
        <f>_xlfn.IFS(Teacher_Data[[#This Row],[Experience_Years]]&lt;=5,"0-5 Years",Teacher_Data[[#This Row],[Experience_Years]]&lt;=10,"5-10 Years",Teacher_Data[[#This Row],[Experience_Years]]&lt;=20,"11-20 Years",TRUE,"20+ Years")</f>
        <v>20+ Years</v>
      </c>
    </row>
    <row r="115" spans="1:25" x14ac:dyDescent="0.3">
      <c r="A115" t="s">
        <v>322</v>
      </c>
      <c r="B115" t="s">
        <v>167</v>
      </c>
      <c r="C115" t="s">
        <v>35</v>
      </c>
      <c r="D115">
        <v>36</v>
      </c>
      <c r="E115" t="s">
        <v>36</v>
      </c>
      <c r="F115" t="s">
        <v>67</v>
      </c>
      <c r="G115" t="s">
        <v>58</v>
      </c>
      <c r="H115" t="s">
        <v>59</v>
      </c>
      <c r="I115" t="s">
        <v>46</v>
      </c>
      <c r="J115" s="1">
        <v>45426</v>
      </c>
      <c r="K115" s="1">
        <v>45431</v>
      </c>
      <c r="L115" t="s">
        <v>52</v>
      </c>
      <c r="M115" s="2">
        <v>65</v>
      </c>
      <c r="N115">
        <v>82</v>
      </c>
      <c r="O115" t="s">
        <v>53</v>
      </c>
      <c r="P115">
        <v>44</v>
      </c>
      <c r="Q115" t="s">
        <v>30</v>
      </c>
      <c r="R115" t="s">
        <v>31</v>
      </c>
      <c r="S115" t="s">
        <v>323</v>
      </c>
      <c r="T115">
        <v>14</v>
      </c>
      <c r="U115" t="str">
        <f>IF(Teacher_Data[[#This Row],[Completion_Status]]="Completed","Yes","No")</f>
        <v>Yes</v>
      </c>
      <c r="V115">
        <f>IF(Teacher_Data[[#This Row],[Completion_Status]]="Completed",1,0)</f>
        <v>1</v>
      </c>
      <c r="W115">
        <f>1</f>
        <v>1</v>
      </c>
      <c r="X115">
        <f>Teacher_Data[[#This Row],[End_Date]]-Teacher_Data[[#This Row],[Start_Date]]</f>
        <v>5</v>
      </c>
      <c r="Y115" t="str">
        <f>_xlfn.IFS(Teacher_Data[[#This Row],[Experience_Years]]&lt;=5,"0-5 Years",Teacher_Data[[#This Row],[Experience_Years]]&lt;=10,"5-10 Years",Teacher_Data[[#This Row],[Experience_Years]]&lt;=20,"11-20 Years",TRUE,"20+ Years")</f>
        <v>11-20 Years</v>
      </c>
    </row>
    <row r="116" spans="1:25" x14ac:dyDescent="0.3">
      <c r="A116" t="s">
        <v>324</v>
      </c>
      <c r="B116" t="s">
        <v>308</v>
      </c>
      <c r="C116" t="s">
        <v>22</v>
      </c>
      <c r="D116">
        <v>45</v>
      </c>
      <c r="E116" t="s">
        <v>66</v>
      </c>
      <c r="F116" t="s">
        <v>83</v>
      </c>
      <c r="G116" t="s">
        <v>38</v>
      </c>
      <c r="H116" t="s">
        <v>39</v>
      </c>
      <c r="I116" t="s">
        <v>27</v>
      </c>
      <c r="J116" s="1">
        <v>45515</v>
      </c>
      <c r="K116" s="1">
        <v>45549</v>
      </c>
      <c r="L116" t="s">
        <v>52</v>
      </c>
      <c r="M116" s="2">
        <v>100</v>
      </c>
      <c r="N116">
        <v>88</v>
      </c>
      <c r="O116" t="s">
        <v>53</v>
      </c>
      <c r="P116">
        <v>33</v>
      </c>
      <c r="Q116" t="s">
        <v>68</v>
      </c>
      <c r="R116" t="s">
        <v>31</v>
      </c>
      <c r="S116" t="s">
        <v>325</v>
      </c>
      <c r="T116">
        <v>6</v>
      </c>
      <c r="U116" t="str">
        <f>IF(Teacher_Data[[#This Row],[Completion_Status]]="Completed","Yes","No")</f>
        <v>Yes</v>
      </c>
      <c r="V116">
        <f>IF(Teacher_Data[[#This Row],[Completion_Status]]="Completed",1,0)</f>
        <v>1</v>
      </c>
      <c r="W116">
        <f>1</f>
        <v>1</v>
      </c>
      <c r="X116">
        <f>Teacher_Data[[#This Row],[End_Date]]-Teacher_Data[[#This Row],[Start_Date]]</f>
        <v>34</v>
      </c>
      <c r="Y116" t="str">
        <f>_xlfn.IFS(Teacher_Data[[#This Row],[Experience_Years]]&lt;=5,"0-5 Years",Teacher_Data[[#This Row],[Experience_Years]]&lt;=10,"5-10 Years",Teacher_Data[[#This Row],[Experience_Years]]&lt;=20,"11-20 Years",TRUE,"20+ Years")</f>
        <v>5-10 Years</v>
      </c>
    </row>
    <row r="117" spans="1:25" x14ac:dyDescent="0.3">
      <c r="A117" t="s">
        <v>326</v>
      </c>
      <c r="B117" t="s">
        <v>194</v>
      </c>
      <c r="C117" t="s">
        <v>22</v>
      </c>
      <c r="D117">
        <v>23</v>
      </c>
      <c r="E117" t="s">
        <v>36</v>
      </c>
      <c r="F117" t="s">
        <v>37</v>
      </c>
      <c r="G117" t="s">
        <v>76</v>
      </c>
      <c r="H117" t="s">
        <v>39</v>
      </c>
      <c r="I117" t="s">
        <v>51</v>
      </c>
      <c r="J117" s="1">
        <v>45454</v>
      </c>
      <c r="K117" s="1">
        <v>45500</v>
      </c>
      <c r="L117" t="s">
        <v>60</v>
      </c>
      <c r="M117" s="2">
        <v>15</v>
      </c>
      <c r="O117" t="s">
        <v>29</v>
      </c>
      <c r="P117">
        <v>7</v>
      </c>
      <c r="Q117" t="s">
        <v>61</v>
      </c>
      <c r="R117" t="s">
        <v>104</v>
      </c>
      <c r="S117" t="s">
        <v>327</v>
      </c>
      <c r="T117">
        <v>24</v>
      </c>
      <c r="U117" t="str">
        <f>IF(Teacher_Data[[#This Row],[Completion_Status]]="Completed","Yes","No")</f>
        <v>No</v>
      </c>
      <c r="V117">
        <f>IF(Teacher_Data[[#This Row],[Completion_Status]]="Completed",1,0)</f>
        <v>0</v>
      </c>
      <c r="W117">
        <f>1</f>
        <v>1</v>
      </c>
      <c r="X117">
        <f>Teacher_Data[[#This Row],[End_Date]]-Teacher_Data[[#This Row],[Start_Date]]</f>
        <v>46</v>
      </c>
      <c r="Y117" t="str">
        <f>_xlfn.IFS(Teacher_Data[[#This Row],[Experience_Years]]&lt;=5,"0-5 Years",Teacher_Data[[#This Row],[Experience_Years]]&lt;=10,"5-10 Years",Teacher_Data[[#This Row],[Experience_Years]]&lt;=20,"11-20 Years",TRUE,"20+ Years")</f>
        <v>20+ Years</v>
      </c>
    </row>
    <row r="118" spans="1:25" x14ac:dyDescent="0.3">
      <c r="A118" t="s">
        <v>328</v>
      </c>
      <c r="B118" t="s">
        <v>56</v>
      </c>
      <c r="C118" t="s">
        <v>22</v>
      </c>
      <c r="D118">
        <v>42</v>
      </c>
      <c r="E118" t="s">
        <v>23</v>
      </c>
      <c r="F118" t="s">
        <v>67</v>
      </c>
      <c r="G118" t="s">
        <v>76</v>
      </c>
      <c r="H118" t="s">
        <v>39</v>
      </c>
      <c r="I118" t="s">
        <v>51</v>
      </c>
      <c r="J118" s="1">
        <v>45438</v>
      </c>
      <c r="K118" s="1">
        <v>45470</v>
      </c>
      <c r="L118" t="s">
        <v>52</v>
      </c>
      <c r="M118" s="2">
        <v>57</v>
      </c>
      <c r="N118">
        <v>82</v>
      </c>
      <c r="O118" t="s">
        <v>53</v>
      </c>
      <c r="P118">
        <v>38</v>
      </c>
      <c r="Q118" t="s">
        <v>30</v>
      </c>
      <c r="R118" t="s">
        <v>41</v>
      </c>
      <c r="S118" t="s">
        <v>329</v>
      </c>
      <c r="T118">
        <v>26</v>
      </c>
      <c r="U118" t="str">
        <f>IF(Teacher_Data[[#This Row],[Completion_Status]]="Completed","Yes","No")</f>
        <v>Yes</v>
      </c>
      <c r="V118">
        <f>IF(Teacher_Data[[#This Row],[Completion_Status]]="Completed",1,0)</f>
        <v>1</v>
      </c>
      <c r="W118">
        <f>1</f>
        <v>1</v>
      </c>
      <c r="X118">
        <f>Teacher_Data[[#This Row],[End_Date]]-Teacher_Data[[#This Row],[Start_Date]]</f>
        <v>32</v>
      </c>
      <c r="Y118" t="str">
        <f>_xlfn.IFS(Teacher_Data[[#This Row],[Experience_Years]]&lt;=5,"0-5 Years",Teacher_Data[[#This Row],[Experience_Years]]&lt;=10,"5-10 Years",Teacher_Data[[#This Row],[Experience_Years]]&lt;=20,"11-20 Years",TRUE,"20+ Years")</f>
        <v>20+ Years</v>
      </c>
    </row>
    <row r="119" spans="1:25" x14ac:dyDescent="0.3">
      <c r="A119" t="s">
        <v>330</v>
      </c>
      <c r="B119" t="s">
        <v>71</v>
      </c>
      <c r="C119" t="s">
        <v>35</v>
      </c>
      <c r="D119">
        <v>52</v>
      </c>
      <c r="E119" t="s">
        <v>36</v>
      </c>
      <c r="F119" t="s">
        <v>100</v>
      </c>
      <c r="G119" t="s">
        <v>45</v>
      </c>
      <c r="H119" t="s">
        <v>39</v>
      </c>
      <c r="I119" t="s">
        <v>46</v>
      </c>
      <c r="J119" s="1">
        <v>45378</v>
      </c>
      <c r="K119" s="1">
        <v>45404</v>
      </c>
      <c r="L119" t="s">
        <v>60</v>
      </c>
      <c r="M119" s="2">
        <v>23</v>
      </c>
      <c r="O119" t="s">
        <v>29</v>
      </c>
      <c r="P119">
        <v>28</v>
      </c>
      <c r="Q119" t="s">
        <v>40</v>
      </c>
      <c r="R119" t="s">
        <v>41</v>
      </c>
      <c r="S119" t="s">
        <v>331</v>
      </c>
      <c r="T119">
        <v>35</v>
      </c>
      <c r="U119" t="str">
        <f>IF(Teacher_Data[[#This Row],[Completion_Status]]="Completed","Yes","No")</f>
        <v>No</v>
      </c>
      <c r="V119">
        <f>IF(Teacher_Data[[#This Row],[Completion_Status]]="Completed",1,0)</f>
        <v>0</v>
      </c>
      <c r="W119">
        <f>1</f>
        <v>1</v>
      </c>
      <c r="X119">
        <f>Teacher_Data[[#This Row],[End_Date]]-Teacher_Data[[#This Row],[Start_Date]]</f>
        <v>26</v>
      </c>
      <c r="Y119" t="str">
        <f>_xlfn.IFS(Teacher_Data[[#This Row],[Experience_Years]]&lt;=5,"0-5 Years",Teacher_Data[[#This Row],[Experience_Years]]&lt;=10,"5-10 Years",Teacher_Data[[#This Row],[Experience_Years]]&lt;=20,"11-20 Years",TRUE,"20+ Years")</f>
        <v>20+ Years</v>
      </c>
    </row>
    <row r="120" spans="1:25" x14ac:dyDescent="0.3">
      <c r="A120" t="s">
        <v>332</v>
      </c>
      <c r="B120" t="s">
        <v>188</v>
      </c>
      <c r="C120" t="s">
        <v>22</v>
      </c>
      <c r="D120">
        <v>59</v>
      </c>
      <c r="E120" t="s">
        <v>66</v>
      </c>
      <c r="F120" t="s">
        <v>100</v>
      </c>
      <c r="G120" t="s">
        <v>25</v>
      </c>
      <c r="H120" t="s">
        <v>26</v>
      </c>
      <c r="I120" t="s">
        <v>27</v>
      </c>
      <c r="J120" s="1">
        <v>45575</v>
      </c>
      <c r="K120" s="1">
        <v>45586</v>
      </c>
      <c r="L120" t="s">
        <v>60</v>
      </c>
      <c r="M120" s="2">
        <v>22</v>
      </c>
      <c r="O120" t="s">
        <v>29</v>
      </c>
      <c r="P120">
        <v>25</v>
      </c>
      <c r="Q120" t="s">
        <v>40</v>
      </c>
      <c r="R120" t="s">
        <v>62</v>
      </c>
      <c r="S120" t="s">
        <v>333</v>
      </c>
      <c r="T120">
        <v>1</v>
      </c>
      <c r="U120" t="str">
        <f>IF(Teacher_Data[[#This Row],[Completion_Status]]="Completed","Yes","No")</f>
        <v>No</v>
      </c>
      <c r="V120">
        <f>IF(Teacher_Data[[#This Row],[Completion_Status]]="Completed",1,0)</f>
        <v>0</v>
      </c>
      <c r="W120">
        <f>1</f>
        <v>1</v>
      </c>
      <c r="X120">
        <f>Teacher_Data[[#This Row],[End_Date]]-Teacher_Data[[#This Row],[Start_Date]]</f>
        <v>11</v>
      </c>
      <c r="Y120" t="str">
        <f>_xlfn.IFS(Teacher_Data[[#This Row],[Experience_Years]]&lt;=5,"0-5 Years",Teacher_Data[[#This Row],[Experience_Years]]&lt;=10,"5-10 Years",Teacher_Data[[#This Row],[Experience_Years]]&lt;=20,"11-20 Years",TRUE,"20+ Years")</f>
        <v>0-5 Years</v>
      </c>
    </row>
    <row r="121" spans="1:25" x14ac:dyDescent="0.3">
      <c r="A121" t="s">
        <v>334</v>
      </c>
      <c r="B121" t="s">
        <v>44</v>
      </c>
      <c r="C121" t="s">
        <v>35</v>
      </c>
      <c r="D121">
        <v>60</v>
      </c>
      <c r="E121" t="s">
        <v>23</v>
      </c>
      <c r="F121" t="s">
        <v>67</v>
      </c>
      <c r="G121" t="s">
        <v>58</v>
      </c>
      <c r="H121" t="s">
        <v>26</v>
      </c>
      <c r="I121" t="s">
        <v>46</v>
      </c>
      <c r="J121" s="1">
        <v>45373</v>
      </c>
      <c r="K121" s="1">
        <v>45404</v>
      </c>
      <c r="L121" t="s">
        <v>52</v>
      </c>
      <c r="M121" s="2">
        <v>74</v>
      </c>
      <c r="N121">
        <v>85</v>
      </c>
      <c r="O121" t="s">
        <v>53</v>
      </c>
      <c r="P121">
        <v>58</v>
      </c>
      <c r="Q121" t="s">
        <v>68</v>
      </c>
      <c r="R121" t="s">
        <v>62</v>
      </c>
      <c r="S121" t="s">
        <v>335</v>
      </c>
      <c r="T121">
        <v>22</v>
      </c>
      <c r="U121" t="str">
        <f>IF(Teacher_Data[[#This Row],[Completion_Status]]="Completed","Yes","No")</f>
        <v>Yes</v>
      </c>
      <c r="V121">
        <f>IF(Teacher_Data[[#This Row],[Completion_Status]]="Completed",1,0)</f>
        <v>1</v>
      </c>
      <c r="W121">
        <f>1</f>
        <v>1</v>
      </c>
      <c r="X121">
        <f>Teacher_Data[[#This Row],[End_Date]]-Teacher_Data[[#This Row],[Start_Date]]</f>
        <v>31</v>
      </c>
      <c r="Y121" t="str">
        <f>_xlfn.IFS(Teacher_Data[[#This Row],[Experience_Years]]&lt;=5,"0-5 Years",Teacher_Data[[#This Row],[Experience_Years]]&lt;=10,"5-10 Years",Teacher_Data[[#This Row],[Experience_Years]]&lt;=20,"11-20 Years",TRUE,"20+ Years")</f>
        <v>20+ Years</v>
      </c>
    </row>
    <row r="122" spans="1:25" x14ac:dyDescent="0.3">
      <c r="A122" t="s">
        <v>336</v>
      </c>
      <c r="B122" t="s">
        <v>21</v>
      </c>
      <c r="C122" t="s">
        <v>35</v>
      </c>
      <c r="D122">
        <v>48</v>
      </c>
      <c r="E122" t="s">
        <v>36</v>
      </c>
      <c r="F122" t="s">
        <v>37</v>
      </c>
      <c r="G122" t="s">
        <v>25</v>
      </c>
      <c r="H122" t="s">
        <v>59</v>
      </c>
      <c r="I122" t="s">
        <v>46</v>
      </c>
      <c r="J122" s="1">
        <v>45480</v>
      </c>
      <c r="K122" s="1">
        <v>45518</v>
      </c>
      <c r="L122" t="s">
        <v>60</v>
      </c>
      <c r="M122" s="2">
        <v>29</v>
      </c>
      <c r="O122" t="s">
        <v>29</v>
      </c>
      <c r="P122">
        <v>53</v>
      </c>
      <c r="Q122" t="s">
        <v>40</v>
      </c>
      <c r="R122" t="s">
        <v>104</v>
      </c>
      <c r="S122" t="s">
        <v>337</v>
      </c>
      <c r="T122">
        <v>8</v>
      </c>
      <c r="U122" t="str">
        <f>IF(Teacher_Data[[#This Row],[Completion_Status]]="Completed","Yes","No")</f>
        <v>No</v>
      </c>
      <c r="V122">
        <f>IF(Teacher_Data[[#This Row],[Completion_Status]]="Completed",1,0)</f>
        <v>0</v>
      </c>
      <c r="W122">
        <f>1</f>
        <v>1</v>
      </c>
      <c r="X122">
        <f>Teacher_Data[[#This Row],[End_Date]]-Teacher_Data[[#This Row],[Start_Date]]</f>
        <v>38</v>
      </c>
      <c r="Y122" t="str">
        <f>_xlfn.IFS(Teacher_Data[[#This Row],[Experience_Years]]&lt;=5,"0-5 Years",Teacher_Data[[#This Row],[Experience_Years]]&lt;=10,"5-10 Years",Teacher_Data[[#This Row],[Experience_Years]]&lt;=20,"11-20 Years",TRUE,"20+ Years")</f>
        <v>5-10 Years</v>
      </c>
    </row>
    <row r="123" spans="1:25" x14ac:dyDescent="0.3">
      <c r="A123" t="s">
        <v>338</v>
      </c>
      <c r="B123" t="s">
        <v>229</v>
      </c>
      <c r="C123" t="s">
        <v>22</v>
      </c>
      <c r="D123">
        <v>30</v>
      </c>
      <c r="E123" t="s">
        <v>23</v>
      </c>
      <c r="F123" t="s">
        <v>67</v>
      </c>
      <c r="G123" t="s">
        <v>25</v>
      </c>
      <c r="H123" t="s">
        <v>50</v>
      </c>
      <c r="I123" t="s">
        <v>46</v>
      </c>
      <c r="J123" s="1">
        <v>45316</v>
      </c>
      <c r="K123" s="1">
        <v>45344</v>
      </c>
      <c r="L123" t="s">
        <v>28</v>
      </c>
      <c r="M123" s="2">
        <v>62</v>
      </c>
      <c r="O123" t="s">
        <v>29</v>
      </c>
      <c r="P123">
        <v>32</v>
      </c>
      <c r="Q123" t="s">
        <v>68</v>
      </c>
      <c r="R123" t="s">
        <v>31</v>
      </c>
      <c r="S123" t="s">
        <v>339</v>
      </c>
      <c r="T123">
        <v>25</v>
      </c>
      <c r="U123" t="str">
        <f>IF(Teacher_Data[[#This Row],[Completion_Status]]="Completed","Yes","No")</f>
        <v>No</v>
      </c>
      <c r="V123">
        <f>IF(Teacher_Data[[#This Row],[Completion_Status]]="Completed",1,0)</f>
        <v>0</v>
      </c>
      <c r="W123">
        <f>1</f>
        <v>1</v>
      </c>
      <c r="X123">
        <f>Teacher_Data[[#This Row],[End_Date]]-Teacher_Data[[#This Row],[Start_Date]]</f>
        <v>28</v>
      </c>
      <c r="Y123" t="str">
        <f>_xlfn.IFS(Teacher_Data[[#This Row],[Experience_Years]]&lt;=5,"0-5 Years",Teacher_Data[[#This Row],[Experience_Years]]&lt;=10,"5-10 Years",Teacher_Data[[#This Row],[Experience_Years]]&lt;=20,"11-20 Years",TRUE,"20+ Years")</f>
        <v>20+ Years</v>
      </c>
    </row>
    <row r="124" spans="1:25" x14ac:dyDescent="0.3">
      <c r="A124" t="s">
        <v>340</v>
      </c>
      <c r="B124" t="s">
        <v>65</v>
      </c>
      <c r="C124" t="s">
        <v>35</v>
      </c>
      <c r="D124">
        <v>50</v>
      </c>
      <c r="E124" t="s">
        <v>36</v>
      </c>
      <c r="F124" t="s">
        <v>67</v>
      </c>
      <c r="G124" t="s">
        <v>76</v>
      </c>
      <c r="H124" t="s">
        <v>50</v>
      </c>
      <c r="I124" t="s">
        <v>46</v>
      </c>
      <c r="J124" s="1">
        <v>45317</v>
      </c>
      <c r="K124" s="1">
        <v>45373</v>
      </c>
      <c r="L124" t="s">
        <v>28</v>
      </c>
      <c r="M124" s="2">
        <v>66</v>
      </c>
      <c r="O124" t="s">
        <v>29</v>
      </c>
      <c r="P124">
        <v>28</v>
      </c>
      <c r="Q124" t="s">
        <v>68</v>
      </c>
      <c r="R124" t="s">
        <v>31</v>
      </c>
      <c r="S124" t="s">
        <v>341</v>
      </c>
      <c r="T124">
        <v>14</v>
      </c>
      <c r="U124" t="str">
        <f>IF(Teacher_Data[[#This Row],[Completion_Status]]="Completed","Yes","No")</f>
        <v>No</v>
      </c>
      <c r="V124">
        <f>IF(Teacher_Data[[#This Row],[Completion_Status]]="Completed",1,0)</f>
        <v>0</v>
      </c>
      <c r="W124">
        <f>1</f>
        <v>1</v>
      </c>
      <c r="X124">
        <f>Teacher_Data[[#This Row],[End_Date]]-Teacher_Data[[#This Row],[Start_Date]]</f>
        <v>56</v>
      </c>
      <c r="Y124" t="str">
        <f>_xlfn.IFS(Teacher_Data[[#This Row],[Experience_Years]]&lt;=5,"0-5 Years",Teacher_Data[[#This Row],[Experience_Years]]&lt;=10,"5-10 Years",Teacher_Data[[#This Row],[Experience_Years]]&lt;=20,"11-20 Years",TRUE,"20+ Years")</f>
        <v>11-20 Years</v>
      </c>
    </row>
    <row r="125" spans="1:25" x14ac:dyDescent="0.3">
      <c r="A125" t="s">
        <v>342</v>
      </c>
      <c r="B125" t="s">
        <v>140</v>
      </c>
      <c r="C125" t="s">
        <v>35</v>
      </c>
      <c r="D125">
        <v>36</v>
      </c>
      <c r="E125" t="s">
        <v>36</v>
      </c>
      <c r="F125" t="s">
        <v>24</v>
      </c>
      <c r="G125" t="s">
        <v>76</v>
      </c>
      <c r="H125" t="s">
        <v>39</v>
      </c>
      <c r="I125" t="s">
        <v>46</v>
      </c>
      <c r="J125" s="1">
        <v>45455</v>
      </c>
      <c r="K125" s="1">
        <v>45510</v>
      </c>
      <c r="L125" t="s">
        <v>52</v>
      </c>
      <c r="M125" s="2">
        <v>67</v>
      </c>
      <c r="N125">
        <v>50</v>
      </c>
      <c r="O125" t="s">
        <v>53</v>
      </c>
      <c r="P125">
        <v>27</v>
      </c>
      <c r="Q125" t="s">
        <v>68</v>
      </c>
      <c r="R125" t="s">
        <v>104</v>
      </c>
      <c r="S125" t="s">
        <v>343</v>
      </c>
      <c r="T125">
        <v>5</v>
      </c>
      <c r="U125" t="str">
        <f>IF(Teacher_Data[[#This Row],[Completion_Status]]="Completed","Yes","No")</f>
        <v>Yes</v>
      </c>
      <c r="V125">
        <f>IF(Teacher_Data[[#This Row],[Completion_Status]]="Completed",1,0)</f>
        <v>1</v>
      </c>
      <c r="W125">
        <f>1</f>
        <v>1</v>
      </c>
      <c r="X125">
        <f>Teacher_Data[[#This Row],[End_Date]]-Teacher_Data[[#This Row],[Start_Date]]</f>
        <v>55</v>
      </c>
      <c r="Y125" t="str">
        <f>_xlfn.IFS(Teacher_Data[[#This Row],[Experience_Years]]&lt;=5,"0-5 Years",Teacher_Data[[#This Row],[Experience_Years]]&lt;=10,"5-10 Years",Teacher_Data[[#This Row],[Experience_Years]]&lt;=20,"11-20 Years",TRUE,"20+ Years")</f>
        <v>0-5 Years</v>
      </c>
    </row>
    <row r="126" spans="1:25" x14ac:dyDescent="0.3">
      <c r="A126" t="s">
        <v>344</v>
      </c>
      <c r="B126" t="s">
        <v>191</v>
      </c>
      <c r="C126" t="s">
        <v>22</v>
      </c>
      <c r="D126">
        <v>53</v>
      </c>
      <c r="E126" t="s">
        <v>23</v>
      </c>
      <c r="F126" t="s">
        <v>24</v>
      </c>
      <c r="G126" t="s">
        <v>76</v>
      </c>
      <c r="H126" t="s">
        <v>26</v>
      </c>
      <c r="I126" t="s">
        <v>27</v>
      </c>
      <c r="J126" s="1">
        <v>45365</v>
      </c>
      <c r="K126" s="1">
        <v>45400</v>
      </c>
      <c r="L126" t="s">
        <v>60</v>
      </c>
      <c r="M126" s="2">
        <v>3</v>
      </c>
      <c r="O126" t="s">
        <v>29</v>
      </c>
      <c r="P126">
        <v>40</v>
      </c>
      <c r="Q126" t="s">
        <v>61</v>
      </c>
      <c r="R126" t="s">
        <v>41</v>
      </c>
      <c r="S126" t="s">
        <v>345</v>
      </c>
      <c r="T126">
        <v>30</v>
      </c>
      <c r="U126" t="str">
        <f>IF(Teacher_Data[[#This Row],[Completion_Status]]="Completed","Yes","No")</f>
        <v>No</v>
      </c>
      <c r="V126">
        <f>IF(Teacher_Data[[#This Row],[Completion_Status]]="Completed",1,0)</f>
        <v>0</v>
      </c>
      <c r="W126">
        <f>1</f>
        <v>1</v>
      </c>
      <c r="X126">
        <f>Teacher_Data[[#This Row],[End_Date]]-Teacher_Data[[#This Row],[Start_Date]]</f>
        <v>35</v>
      </c>
      <c r="Y126" t="str">
        <f>_xlfn.IFS(Teacher_Data[[#This Row],[Experience_Years]]&lt;=5,"0-5 Years",Teacher_Data[[#This Row],[Experience_Years]]&lt;=10,"5-10 Years",Teacher_Data[[#This Row],[Experience_Years]]&lt;=20,"11-20 Years",TRUE,"20+ Years")</f>
        <v>20+ Years</v>
      </c>
    </row>
    <row r="127" spans="1:25" x14ac:dyDescent="0.3">
      <c r="A127" t="s">
        <v>346</v>
      </c>
      <c r="B127" t="s">
        <v>65</v>
      </c>
      <c r="C127" t="s">
        <v>22</v>
      </c>
      <c r="D127">
        <v>27</v>
      </c>
      <c r="E127" t="s">
        <v>36</v>
      </c>
      <c r="F127" t="s">
        <v>83</v>
      </c>
      <c r="G127" t="s">
        <v>38</v>
      </c>
      <c r="H127" t="s">
        <v>59</v>
      </c>
      <c r="I127" t="s">
        <v>46</v>
      </c>
      <c r="J127" s="1">
        <v>45516</v>
      </c>
      <c r="K127" s="1">
        <v>45548</v>
      </c>
      <c r="L127" t="s">
        <v>52</v>
      </c>
      <c r="M127" s="2">
        <v>71</v>
      </c>
      <c r="N127">
        <v>71</v>
      </c>
      <c r="O127" t="s">
        <v>53</v>
      </c>
      <c r="P127">
        <v>58</v>
      </c>
      <c r="Q127" t="s">
        <v>68</v>
      </c>
      <c r="R127" t="s">
        <v>62</v>
      </c>
      <c r="S127" t="s">
        <v>347</v>
      </c>
      <c r="T127">
        <v>3</v>
      </c>
      <c r="U127" t="str">
        <f>IF(Teacher_Data[[#This Row],[Completion_Status]]="Completed","Yes","No")</f>
        <v>Yes</v>
      </c>
      <c r="V127">
        <f>IF(Teacher_Data[[#This Row],[Completion_Status]]="Completed",1,0)</f>
        <v>1</v>
      </c>
      <c r="W127">
        <f>1</f>
        <v>1</v>
      </c>
      <c r="X127">
        <f>Teacher_Data[[#This Row],[End_Date]]-Teacher_Data[[#This Row],[Start_Date]]</f>
        <v>32</v>
      </c>
      <c r="Y127" t="str">
        <f>_xlfn.IFS(Teacher_Data[[#This Row],[Experience_Years]]&lt;=5,"0-5 Years",Teacher_Data[[#This Row],[Experience_Years]]&lt;=10,"5-10 Years",Teacher_Data[[#This Row],[Experience_Years]]&lt;=20,"11-20 Years",TRUE,"20+ Years")</f>
        <v>0-5 Years</v>
      </c>
    </row>
    <row r="128" spans="1:25" x14ac:dyDescent="0.3">
      <c r="A128" t="s">
        <v>348</v>
      </c>
      <c r="B128" t="s">
        <v>121</v>
      </c>
      <c r="C128" t="s">
        <v>35</v>
      </c>
      <c r="D128">
        <v>25</v>
      </c>
      <c r="E128" t="s">
        <v>66</v>
      </c>
      <c r="F128" t="s">
        <v>67</v>
      </c>
      <c r="G128" t="s">
        <v>25</v>
      </c>
      <c r="H128" t="s">
        <v>50</v>
      </c>
      <c r="I128" t="s">
        <v>46</v>
      </c>
      <c r="J128" s="1">
        <v>45325</v>
      </c>
      <c r="K128" s="1">
        <v>45342</v>
      </c>
      <c r="L128" t="s">
        <v>60</v>
      </c>
      <c r="M128" s="2">
        <v>15</v>
      </c>
      <c r="O128" t="s">
        <v>29</v>
      </c>
      <c r="P128">
        <v>42</v>
      </c>
      <c r="Q128" t="s">
        <v>61</v>
      </c>
      <c r="R128" t="s">
        <v>72</v>
      </c>
      <c r="S128" t="s">
        <v>349</v>
      </c>
      <c r="T128">
        <v>18</v>
      </c>
      <c r="U128" t="str">
        <f>IF(Teacher_Data[[#This Row],[Completion_Status]]="Completed","Yes","No")</f>
        <v>No</v>
      </c>
      <c r="V128">
        <f>IF(Teacher_Data[[#This Row],[Completion_Status]]="Completed",1,0)</f>
        <v>0</v>
      </c>
      <c r="W128">
        <f>1</f>
        <v>1</v>
      </c>
      <c r="X128">
        <f>Teacher_Data[[#This Row],[End_Date]]-Teacher_Data[[#This Row],[Start_Date]]</f>
        <v>17</v>
      </c>
      <c r="Y128" t="str">
        <f>_xlfn.IFS(Teacher_Data[[#This Row],[Experience_Years]]&lt;=5,"0-5 Years",Teacher_Data[[#This Row],[Experience_Years]]&lt;=10,"5-10 Years",Teacher_Data[[#This Row],[Experience_Years]]&lt;=20,"11-20 Years",TRUE,"20+ Years")</f>
        <v>11-20 Years</v>
      </c>
    </row>
    <row r="129" spans="1:25" x14ac:dyDescent="0.3">
      <c r="A129" t="s">
        <v>350</v>
      </c>
      <c r="B129" t="s">
        <v>110</v>
      </c>
      <c r="C129" t="s">
        <v>35</v>
      </c>
      <c r="D129">
        <v>23</v>
      </c>
      <c r="E129" t="s">
        <v>36</v>
      </c>
      <c r="F129" t="s">
        <v>24</v>
      </c>
      <c r="G129" t="s">
        <v>45</v>
      </c>
      <c r="H129" t="s">
        <v>39</v>
      </c>
      <c r="I129" t="s">
        <v>46</v>
      </c>
      <c r="J129" s="1">
        <v>45550</v>
      </c>
      <c r="K129" s="1">
        <v>45605</v>
      </c>
      <c r="L129" t="s">
        <v>52</v>
      </c>
      <c r="M129" s="2">
        <v>99</v>
      </c>
      <c r="N129">
        <v>78</v>
      </c>
      <c r="O129" t="s">
        <v>53</v>
      </c>
      <c r="P129">
        <v>16</v>
      </c>
      <c r="Q129" t="s">
        <v>30</v>
      </c>
      <c r="R129" t="s">
        <v>31</v>
      </c>
      <c r="S129" t="s">
        <v>351</v>
      </c>
      <c r="T129">
        <v>16</v>
      </c>
      <c r="U129" t="str">
        <f>IF(Teacher_Data[[#This Row],[Completion_Status]]="Completed","Yes","No")</f>
        <v>Yes</v>
      </c>
      <c r="V129">
        <f>IF(Teacher_Data[[#This Row],[Completion_Status]]="Completed",1,0)</f>
        <v>1</v>
      </c>
      <c r="W129">
        <f>1</f>
        <v>1</v>
      </c>
      <c r="X129">
        <f>Teacher_Data[[#This Row],[End_Date]]-Teacher_Data[[#This Row],[Start_Date]]</f>
        <v>55</v>
      </c>
      <c r="Y129" t="str">
        <f>_xlfn.IFS(Teacher_Data[[#This Row],[Experience_Years]]&lt;=5,"0-5 Years",Teacher_Data[[#This Row],[Experience_Years]]&lt;=10,"5-10 Years",Teacher_Data[[#This Row],[Experience_Years]]&lt;=20,"11-20 Years",TRUE,"20+ Years")</f>
        <v>11-20 Years</v>
      </c>
    </row>
    <row r="130" spans="1:25" x14ac:dyDescent="0.3">
      <c r="A130" t="s">
        <v>352</v>
      </c>
      <c r="B130" t="s">
        <v>79</v>
      </c>
      <c r="C130" t="s">
        <v>22</v>
      </c>
      <c r="D130">
        <v>41</v>
      </c>
      <c r="E130" t="s">
        <v>66</v>
      </c>
      <c r="F130" t="s">
        <v>37</v>
      </c>
      <c r="G130" t="s">
        <v>76</v>
      </c>
      <c r="H130" t="s">
        <v>50</v>
      </c>
      <c r="I130" t="s">
        <v>46</v>
      </c>
      <c r="J130" s="1">
        <v>45312</v>
      </c>
      <c r="K130" s="1">
        <v>45334</v>
      </c>
      <c r="L130" t="s">
        <v>28</v>
      </c>
      <c r="M130" s="2">
        <v>48</v>
      </c>
      <c r="O130" t="s">
        <v>29</v>
      </c>
      <c r="P130">
        <v>14</v>
      </c>
      <c r="Q130" t="s">
        <v>61</v>
      </c>
      <c r="R130" t="s">
        <v>104</v>
      </c>
      <c r="S130" t="s">
        <v>353</v>
      </c>
      <c r="T130">
        <v>26</v>
      </c>
      <c r="U130" t="str">
        <f>IF(Teacher_Data[[#This Row],[Completion_Status]]="Completed","Yes","No")</f>
        <v>No</v>
      </c>
      <c r="V130">
        <f>IF(Teacher_Data[[#This Row],[Completion_Status]]="Completed",1,0)</f>
        <v>0</v>
      </c>
      <c r="W130">
        <f>1</f>
        <v>1</v>
      </c>
      <c r="X130">
        <f>Teacher_Data[[#This Row],[End_Date]]-Teacher_Data[[#This Row],[Start_Date]]</f>
        <v>22</v>
      </c>
      <c r="Y130" t="str">
        <f>_xlfn.IFS(Teacher_Data[[#This Row],[Experience_Years]]&lt;=5,"0-5 Years",Teacher_Data[[#This Row],[Experience_Years]]&lt;=10,"5-10 Years",Teacher_Data[[#This Row],[Experience_Years]]&lt;=20,"11-20 Years",TRUE,"20+ Years")</f>
        <v>20+ Years</v>
      </c>
    </row>
    <row r="131" spans="1:25" x14ac:dyDescent="0.3">
      <c r="A131" t="s">
        <v>354</v>
      </c>
      <c r="B131" t="s">
        <v>82</v>
      </c>
      <c r="C131" t="s">
        <v>35</v>
      </c>
      <c r="D131">
        <v>38</v>
      </c>
      <c r="E131" t="s">
        <v>23</v>
      </c>
      <c r="F131" t="s">
        <v>83</v>
      </c>
      <c r="G131" t="s">
        <v>38</v>
      </c>
      <c r="H131" t="s">
        <v>26</v>
      </c>
      <c r="I131" t="s">
        <v>27</v>
      </c>
      <c r="J131" s="1">
        <v>45460</v>
      </c>
      <c r="K131" s="1">
        <v>45494</v>
      </c>
      <c r="L131" t="s">
        <v>52</v>
      </c>
      <c r="M131" s="2">
        <v>83</v>
      </c>
      <c r="N131">
        <v>78</v>
      </c>
      <c r="O131" t="s">
        <v>53</v>
      </c>
      <c r="P131">
        <v>30</v>
      </c>
      <c r="Q131" t="s">
        <v>68</v>
      </c>
      <c r="R131" t="s">
        <v>62</v>
      </c>
      <c r="S131" t="s">
        <v>355</v>
      </c>
      <c r="T131">
        <v>4</v>
      </c>
      <c r="U131" t="str">
        <f>IF(Teacher_Data[[#This Row],[Completion_Status]]="Completed","Yes","No")</f>
        <v>Yes</v>
      </c>
      <c r="V131">
        <f>IF(Teacher_Data[[#This Row],[Completion_Status]]="Completed",1,0)</f>
        <v>1</v>
      </c>
      <c r="W131">
        <f>1</f>
        <v>1</v>
      </c>
      <c r="X131">
        <f>Teacher_Data[[#This Row],[End_Date]]-Teacher_Data[[#This Row],[Start_Date]]</f>
        <v>34</v>
      </c>
      <c r="Y131" t="str">
        <f>_xlfn.IFS(Teacher_Data[[#This Row],[Experience_Years]]&lt;=5,"0-5 Years",Teacher_Data[[#This Row],[Experience_Years]]&lt;=10,"5-10 Years",Teacher_Data[[#This Row],[Experience_Years]]&lt;=20,"11-20 Years",TRUE,"20+ Years")</f>
        <v>0-5 Years</v>
      </c>
    </row>
    <row r="132" spans="1:25" x14ac:dyDescent="0.3">
      <c r="A132" t="s">
        <v>356</v>
      </c>
      <c r="B132" t="s">
        <v>82</v>
      </c>
      <c r="C132" t="s">
        <v>35</v>
      </c>
      <c r="D132">
        <v>52</v>
      </c>
      <c r="E132" t="s">
        <v>57</v>
      </c>
      <c r="F132" t="s">
        <v>37</v>
      </c>
      <c r="G132" t="s">
        <v>25</v>
      </c>
      <c r="H132" t="s">
        <v>39</v>
      </c>
      <c r="I132" t="s">
        <v>46</v>
      </c>
      <c r="J132" s="1">
        <v>45350</v>
      </c>
      <c r="K132" s="1">
        <v>45373</v>
      </c>
      <c r="L132" t="s">
        <v>28</v>
      </c>
      <c r="M132" s="2">
        <v>53</v>
      </c>
      <c r="O132" t="s">
        <v>29</v>
      </c>
      <c r="P132">
        <v>44</v>
      </c>
      <c r="Q132" t="s">
        <v>30</v>
      </c>
      <c r="R132" t="s">
        <v>104</v>
      </c>
      <c r="S132" t="s">
        <v>357</v>
      </c>
      <c r="T132">
        <v>35</v>
      </c>
      <c r="U132" t="str">
        <f>IF(Teacher_Data[[#This Row],[Completion_Status]]="Completed","Yes","No")</f>
        <v>No</v>
      </c>
      <c r="V132">
        <f>IF(Teacher_Data[[#This Row],[Completion_Status]]="Completed",1,0)</f>
        <v>0</v>
      </c>
      <c r="W132">
        <f>1</f>
        <v>1</v>
      </c>
      <c r="X132">
        <f>Teacher_Data[[#This Row],[End_Date]]-Teacher_Data[[#This Row],[Start_Date]]</f>
        <v>23</v>
      </c>
      <c r="Y132" t="str">
        <f>_xlfn.IFS(Teacher_Data[[#This Row],[Experience_Years]]&lt;=5,"0-5 Years",Teacher_Data[[#This Row],[Experience_Years]]&lt;=10,"5-10 Years",Teacher_Data[[#This Row],[Experience_Years]]&lt;=20,"11-20 Years",TRUE,"20+ Years")</f>
        <v>20+ Years</v>
      </c>
    </row>
    <row r="133" spans="1:25" x14ac:dyDescent="0.3">
      <c r="A133" t="s">
        <v>358</v>
      </c>
      <c r="B133" t="s">
        <v>182</v>
      </c>
      <c r="C133" t="s">
        <v>22</v>
      </c>
      <c r="D133">
        <v>51</v>
      </c>
      <c r="E133" t="s">
        <v>23</v>
      </c>
      <c r="F133" t="s">
        <v>83</v>
      </c>
      <c r="G133" t="s">
        <v>58</v>
      </c>
      <c r="H133" t="s">
        <v>39</v>
      </c>
      <c r="I133" t="s">
        <v>27</v>
      </c>
      <c r="J133" s="1">
        <v>45342</v>
      </c>
      <c r="K133" s="1">
        <v>45392</v>
      </c>
      <c r="L133" t="s">
        <v>28</v>
      </c>
      <c r="M133" s="2">
        <v>58</v>
      </c>
      <c r="O133" t="s">
        <v>29</v>
      </c>
      <c r="P133">
        <v>25</v>
      </c>
      <c r="Q133" t="s">
        <v>68</v>
      </c>
      <c r="R133" t="s">
        <v>31</v>
      </c>
      <c r="S133" t="s">
        <v>359</v>
      </c>
      <c r="T133">
        <v>24</v>
      </c>
      <c r="U133" t="str">
        <f>IF(Teacher_Data[[#This Row],[Completion_Status]]="Completed","Yes","No")</f>
        <v>No</v>
      </c>
      <c r="V133">
        <f>IF(Teacher_Data[[#This Row],[Completion_Status]]="Completed",1,0)</f>
        <v>0</v>
      </c>
      <c r="W133">
        <f>1</f>
        <v>1</v>
      </c>
      <c r="X133">
        <f>Teacher_Data[[#This Row],[End_Date]]-Teacher_Data[[#This Row],[Start_Date]]</f>
        <v>50</v>
      </c>
      <c r="Y133" t="str">
        <f>_xlfn.IFS(Teacher_Data[[#This Row],[Experience_Years]]&lt;=5,"0-5 Years",Teacher_Data[[#This Row],[Experience_Years]]&lt;=10,"5-10 Years",Teacher_Data[[#This Row],[Experience_Years]]&lt;=20,"11-20 Years",TRUE,"20+ Years")</f>
        <v>20+ Years</v>
      </c>
    </row>
    <row r="134" spans="1:25" x14ac:dyDescent="0.3">
      <c r="A134" t="s">
        <v>360</v>
      </c>
      <c r="B134" t="s">
        <v>82</v>
      </c>
      <c r="C134" t="s">
        <v>35</v>
      </c>
      <c r="D134">
        <v>23</v>
      </c>
      <c r="E134" t="s">
        <v>36</v>
      </c>
      <c r="F134" t="s">
        <v>67</v>
      </c>
      <c r="G134" t="s">
        <v>38</v>
      </c>
      <c r="H134" t="s">
        <v>39</v>
      </c>
      <c r="I134" t="s">
        <v>51</v>
      </c>
      <c r="J134" s="1">
        <v>45573</v>
      </c>
      <c r="K134" s="1">
        <v>45606</v>
      </c>
      <c r="L134" t="s">
        <v>52</v>
      </c>
      <c r="M134" s="2">
        <v>48</v>
      </c>
      <c r="N134">
        <v>99</v>
      </c>
      <c r="O134" t="s">
        <v>53</v>
      </c>
      <c r="P134">
        <v>22</v>
      </c>
      <c r="Q134" t="s">
        <v>68</v>
      </c>
      <c r="R134" t="s">
        <v>104</v>
      </c>
      <c r="S134" t="s">
        <v>361</v>
      </c>
      <c r="T134">
        <v>2</v>
      </c>
      <c r="U134" t="str">
        <f>IF(Teacher_Data[[#This Row],[Completion_Status]]="Completed","Yes","No")</f>
        <v>Yes</v>
      </c>
      <c r="V134">
        <f>IF(Teacher_Data[[#This Row],[Completion_Status]]="Completed",1,0)</f>
        <v>1</v>
      </c>
      <c r="W134">
        <f>1</f>
        <v>1</v>
      </c>
      <c r="X134">
        <f>Teacher_Data[[#This Row],[End_Date]]-Teacher_Data[[#This Row],[Start_Date]]</f>
        <v>33</v>
      </c>
      <c r="Y134" t="str">
        <f>_xlfn.IFS(Teacher_Data[[#This Row],[Experience_Years]]&lt;=5,"0-5 Years",Teacher_Data[[#This Row],[Experience_Years]]&lt;=10,"5-10 Years",Teacher_Data[[#This Row],[Experience_Years]]&lt;=20,"11-20 Years",TRUE,"20+ Years")</f>
        <v>0-5 Years</v>
      </c>
    </row>
    <row r="135" spans="1:25" x14ac:dyDescent="0.3">
      <c r="A135" t="s">
        <v>362</v>
      </c>
      <c r="B135" t="s">
        <v>110</v>
      </c>
      <c r="C135" t="s">
        <v>35</v>
      </c>
      <c r="D135">
        <v>30</v>
      </c>
      <c r="E135" t="s">
        <v>57</v>
      </c>
      <c r="F135" t="s">
        <v>83</v>
      </c>
      <c r="G135" t="s">
        <v>58</v>
      </c>
      <c r="H135" t="s">
        <v>59</v>
      </c>
      <c r="I135" t="s">
        <v>51</v>
      </c>
      <c r="J135" s="1">
        <v>45389</v>
      </c>
      <c r="K135" s="1">
        <v>45402</v>
      </c>
      <c r="L135" t="s">
        <v>28</v>
      </c>
      <c r="M135" s="2">
        <v>97</v>
      </c>
      <c r="O135" t="s">
        <v>29</v>
      </c>
      <c r="P135">
        <v>58</v>
      </c>
      <c r="Q135" t="s">
        <v>61</v>
      </c>
      <c r="R135" t="s">
        <v>41</v>
      </c>
      <c r="S135" t="s">
        <v>363</v>
      </c>
      <c r="T135">
        <v>6</v>
      </c>
      <c r="U135" t="str">
        <f>IF(Teacher_Data[[#This Row],[Completion_Status]]="Completed","Yes","No")</f>
        <v>No</v>
      </c>
      <c r="V135">
        <f>IF(Teacher_Data[[#This Row],[Completion_Status]]="Completed",1,0)</f>
        <v>0</v>
      </c>
      <c r="W135">
        <f>1</f>
        <v>1</v>
      </c>
      <c r="X135">
        <f>Teacher_Data[[#This Row],[End_Date]]-Teacher_Data[[#This Row],[Start_Date]]</f>
        <v>13</v>
      </c>
      <c r="Y135" t="str">
        <f>_xlfn.IFS(Teacher_Data[[#This Row],[Experience_Years]]&lt;=5,"0-5 Years",Teacher_Data[[#This Row],[Experience_Years]]&lt;=10,"5-10 Years",Teacher_Data[[#This Row],[Experience_Years]]&lt;=20,"11-20 Years",TRUE,"20+ Years")</f>
        <v>5-10 Years</v>
      </c>
    </row>
    <row r="136" spans="1:25" x14ac:dyDescent="0.3">
      <c r="A136" t="s">
        <v>364</v>
      </c>
      <c r="B136" t="s">
        <v>229</v>
      </c>
      <c r="C136" t="s">
        <v>22</v>
      </c>
      <c r="D136">
        <v>45</v>
      </c>
      <c r="E136" t="s">
        <v>66</v>
      </c>
      <c r="F136" t="s">
        <v>67</v>
      </c>
      <c r="G136" t="s">
        <v>58</v>
      </c>
      <c r="H136" t="s">
        <v>39</v>
      </c>
      <c r="I136" t="s">
        <v>27</v>
      </c>
      <c r="J136" s="1">
        <v>45577</v>
      </c>
      <c r="K136" s="1">
        <v>45614</v>
      </c>
      <c r="L136" t="s">
        <v>52</v>
      </c>
      <c r="M136" s="2">
        <v>83</v>
      </c>
      <c r="N136">
        <v>61</v>
      </c>
      <c r="O136" t="s">
        <v>53</v>
      </c>
      <c r="P136">
        <v>32</v>
      </c>
      <c r="Q136" t="s">
        <v>68</v>
      </c>
      <c r="R136" t="s">
        <v>41</v>
      </c>
      <c r="S136" t="s">
        <v>365</v>
      </c>
      <c r="T136">
        <v>26</v>
      </c>
      <c r="U136" t="str">
        <f>IF(Teacher_Data[[#This Row],[Completion_Status]]="Completed","Yes","No")</f>
        <v>Yes</v>
      </c>
      <c r="V136">
        <f>IF(Teacher_Data[[#This Row],[Completion_Status]]="Completed",1,0)</f>
        <v>1</v>
      </c>
      <c r="W136">
        <f>1</f>
        <v>1</v>
      </c>
      <c r="X136">
        <f>Teacher_Data[[#This Row],[End_Date]]-Teacher_Data[[#This Row],[Start_Date]]</f>
        <v>37</v>
      </c>
      <c r="Y136" t="str">
        <f>_xlfn.IFS(Teacher_Data[[#This Row],[Experience_Years]]&lt;=5,"0-5 Years",Teacher_Data[[#This Row],[Experience_Years]]&lt;=10,"5-10 Years",Teacher_Data[[#This Row],[Experience_Years]]&lt;=20,"11-20 Years",TRUE,"20+ Years")</f>
        <v>20+ Years</v>
      </c>
    </row>
    <row r="137" spans="1:25" x14ac:dyDescent="0.3">
      <c r="A137" t="s">
        <v>366</v>
      </c>
      <c r="B137" t="s">
        <v>103</v>
      </c>
      <c r="C137" t="s">
        <v>22</v>
      </c>
      <c r="D137">
        <v>47</v>
      </c>
      <c r="E137" t="s">
        <v>57</v>
      </c>
      <c r="F137" t="s">
        <v>83</v>
      </c>
      <c r="G137" t="s">
        <v>58</v>
      </c>
      <c r="H137" t="s">
        <v>26</v>
      </c>
      <c r="I137" t="s">
        <v>51</v>
      </c>
      <c r="J137" s="1">
        <v>45506</v>
      </c>
      <c r="K137" s="1">
        <v>45555</v>
      </c>
      <c r="L137" t="s">
        <v>60</v>
      </c>
      <c r="M137" s="2">
        <v>38</v>
      </c>
      <c r="O137" t="s">
        <v>29</v>
      </c>
      <c r="P137">
        <v>13</v>
      </c>
      <c r="Q137" t="s">
        <v>30</v>
      </c>
      <c r="R137" t="s">
        <v>72</v>
      </c>
      <c r="S137" t="s">
        <v>367</v>
      </c>
      <c r="T137">
        <v>8</v>
      </c>
      <c r="U137" t="str">
        <f>IF(Teacher_Data[[#This Row],[Completion_Status]]="Completed","Yes","No")</f>
        <v>No</v>
      </c>
      <c r="V137">
        <f>IF(Teacher_Data[[#This Row],[Completion_Status]]="Completed",1,0)</f>
        <v>0</v>
      </c>
      <c r="W137">
        <f>1</f>
        <v>1</v>
      </c>
      <c r="X137">
        <f>Teacher_Data[[#This Row],[End_Date]]-Teacher_Data[[#This Row],[Start_Date]]</f>
        <v>49</v>
      </c>
      <c r="Y137" t="str">
        <f>_xlfn.IFS(Teacher_Data[[#This Row],[Experience_Years]]&lt;=5,"0-5 Years",Teacher_Data[[#This Row],[Experience_Years]]&lt;=10,"5-10 Years",Teacher_Data[[#This Row],[Experience_Years]]&lt;=20,"11-20 Years",TRUE,"20+ Years")</f>
        <v>5-10 Years</v>
      </c>
    </row>
    <row r="138" spans="1:25" x14ac:dyDescent="0.3">
      <c r="A138" t="s">
        <v>368</v>
      </c>
      <c r="B138" t="s">
        <v>145</v>
      </c>
      <c r="C138" t="s">
        <v>22</v>
      </c>
      <c r="D138">
        <v>27</v>
      </c>
      <c r="E138" t="s">
        <v>23</v>
      </c>
      <c r="F138" t="s">
        <v>24</v>
      </c>
      <c r="G138" t="s">
        <v>45</v>
      </c>
      <c r="H138" t="s">
        <v>39</v>
      </c>
      <c r="I138" t="s">
        <v>51</v>
      </c>
      <c r="J138" s="1">
        <v>45557</v>
      </c>
      <c r="K138" s="1">
        <v>45592</v>
      </c>
      <c r="L138" t="s">
        <v>60</v>
      </c>
      <c r="M138" s="2">
        <v>29</v>
      </c>
      <c r="O138" t="s">
        <v>29</v>
      </c>
      <c r="P138">
        <v>47</v>
      </c>
      <c r="Q138" t="s">
        <v>40</v>
      </c>
      <c r="R138" t="s">
        <v>41</v>
      </c>
      <c r="S138" t="s">
        <v>369</v>
      </c>
      <c r="T138">
        <v>26</v>
      </c>
      <c r="U138" t="str">
        <f>IF(Teacher_Data[[#This Row],[Completion_Status]]="Completed","Yes","No")</f>
        <v>No</v>
      </c>
      <c r="V138">
        <f>IF(Teacher_Data[[#This Row],[Completion_Status]]="Completed",1,0)</f>
        <v>0</v>
      </c>
      <c r="W138">
        <f>1</f>
        <v>1</v>
      </c>
      <c r="X138">
        <f>Teacher_Data[[#This Row],[End_Date]]-Teacher_Data[[#This Row],[Start_Date]]</f>
        <v>35</v>
      </c>
      <c r="Y138" t="str">
        <f>_xlfn.IFS(Teacher_Data[[#This Row],[Experience_Years]]&lt;=5,"0-5 Years",Teacher_Data[[#This Row],[Experience_Years]]&lt;=10,"5-10 Years",Teacher_Data[[#This Row],[Experience_Years]]&lt;=20,"11-20 Years",TRUE,"20+ Years")</f>
        <v>20+ Years</v>
      </c>
    </row>
    <row r="139" spans="1:25" x14ac:dyDescent="0.3">
      <c r="A139" t="s">
        <v>370</v>
      </c>
      <c r="B139" t="s">
        <v>191</v>
      </c>
      <c r="C139" t="s">
        <v>35</v>
      </c>
      <c r="D139">
        <v>31</v>
      </c>
      <c r="E139" t="s">
        <v>57</v>
      </c>
      <c r="F139" t="s">
        <v>100</v>
      </c>
      <c r="G139" t="s">
        <v>76</v>
      </c>
      <c r="H139" t="s">
        <v>50</v>
      </c>
      <c r="I139" t="s">
        <v>46</v>
      </c>
      <c r="J139" s="1">
        <v>45318</v>
      </c>
      <c r="K139" s="1">
        <v>45356</v>
      </c>
      <c r="L139" t="s">
        <v>28</v>
      </c>
      <c r="M139" s="2">
        <v>40</v>
      </c>
      <c r="O139" t="s">
        <v>29</v>
      </c>
      <c r="P139">
        <v>25</v>
      </c>
      <c r="Q139" t="s">
        <v>68</v>
      </c>
      <c r="R139" t="s">
        <v>72</v>
      </c>
      <c r="S139" t="s">
        <v>371</v>
      </c>
      <c r="T139">
        <v>18</v>
      </c>
      <c r="U139" t="str">
        <f>IF(Teacher_Data[[#This Row],[Completion_Status]]="Completed","Yes","No")</f>
        <v>No</v>
      </c>
      <c r="V139">
        <f>IF(Teacher_Data[[#This Row],[Completion_Status]]="Completed",1,0)</f>
        <v>0</v>
      </c>
      <c r="W139">
        <f>1</f>
        <v>1</v>
      </c>
      <c r="X139">
        <f>Teacher_Data[[#This Row],[End_Date]]-Teacher_Data[[#This Row],[Start_Date]]</f>
        <v>38</v>
      </c>
      <c r="Y139" t="str">
        <f>_xlfn.IFS(Teacher_Data[[#This Row],[Experience_Years]]&lt;=5,"0-5 Years",Teacher_Data[[#This Row],[Experience_Years]]&lt;=10,"5-10 Years",Teacher_Data[[#This Row],[Experience_Years]]&lt;=20,"11-20 Years",TRUE,"20+ Years")</f>
        <v>11-20 Years</v>
      </c>
    </row>
    <row r="140" spans="1:25" x14ac:dyDescent="0.3">
      <c r="A140" t="s">
        <v>372</v>
      </c>
      <c r="B140" t="s">
        <v>308</v>
      </c>
      <c r="C140" t="s">
        <v>22</v>
      </c>
      <c r="D140">
        <v>29</v>
      </c>
      <c r="E140" t="s">
        <v>23</v>
      </c>
      <c r="F140" t="s">
        <v>37</v>
      </c>
      <c r="G140" t="s">
        <v>38</v>
      </c>
      <c r="H140" t="s">
        <v>26</v>
      </c>
      <c r="I140" t="s">
        <v>51</v>
      </c>
      <c r="J140" s="1">
        <v>45492</v>
      </c>
      <c r="K140" s="1">
        <v>45503</v>
      </c>
      <c r="L140" t="s">
        <v>28</v>
      </c>
      <c r="M140" s="2">
        <v>45</v>
      </c>
      <c r="O140" t="s">
        <v>29</v>
      </c>
      <c r="P140">
        <v>46</v>
      </c>
      <c r="Q140" t="s">
        <v>68</v>
      </c>
      <c r="R140" t="s">
        <v>62</v>
      </c>
      <c r="S140" t="s">
        <v>373</v>
      </c>
      <c r="T140">
        <v>9</v>
      </c>
      <c r="U140" t="str">
        <f>IF(Teacher_Data[[#This Row],[Completion_Status]]="Completed","Yes","No")</f>
        <v>No</v>
      </c>
      <c r="V140">
        <f>IF(Teacher_Data[[#This Row],[Completion_Status]]="Completed",1,0)</f>
        <v>0</v>
      </c>
      <c r="W140">
        <f>1</f>
        <v>1</v>
      </c>
      <c r="X140">
        <f>Teacher_Data[[#This Row],[End_Date]]-Teacher_Data[[#This Row],[Start_Date]]</f>
        <v>11</v>
      </c>
      <c r="Y140" t="str">
        <f>_xlfn.IFS(Teacher_Data[[#This Row],[Experience_Years]]&lt;=5,"0-5 Years",Teacher_Data[[#This Row],[Experience_Years]]&lt;=10,"5-10 Years",Teacher_Data[[#This Row],[Experience_Years]]&lt;=20,"11-20 Years",TRUE,"20+ Years")</f>
        <v>5-10 Years</v>
      </c>
    </row>
    <row r="141" spans="1:25" x14ac:dyDescent="0.3">
      <c r="A141" t="s">
        <v>374</v>
      </c>
      <c r="B141" t="s">
        <v>34</v>
      </c>
      <c r="C141" t="s">
        <v>35</v>
      </c>
      <c r="D141">
        <v>50</v>
      </c>
      <c r="E141" t="s">
        <v>36</v>
      </c>
      <c r="F141" t="s">
        <v>67</v>
      </c>
      <c r="G141" t="s">
        <v>38</v>
      </c>
      <c r="H141" t="s">
        <v>39</v>
      </c>
      <c r="I141" t="s">
        <v>51</v>
      </c>
      <c r="J141" s="1">
        <v>45578</v>
      </c>
      <c r="K141" s="1">
        <v>45624</v>
      </c>
      <c r="L141" t="s">
        <v>28</v>
      </c>
      <c r="M141" s="2">
        <v>83</v>
      </c>
      <c r="O141" t="s">
        <v>29</v>
      </c>
      <c r="P141">
        <v>45</v>
      </c>
      <c r="Q141" t="s">
        <v>30</v>
      </c>
      <c r="R141" t="s">
        <v>41</v>
      </c>
      <c r="S141" t="s">
        <v>375</v>
      </c>
      <c r="T141">
        <v>2</v>
      </c>
      <c r="U141" t="str">
        <f>IF(Teacher_Data[[#This Row],[Completion_Status]]="Completed","Yes","No")</f>
        <v>No</v>
      </c>
      <c r="V141">
        <f>IF(Teacher_Data[[#This Row],[Completion_Status]]="Completed",1,0)</f>
        <v>0</v>
      </c>
      <c r="W141">
        <f>1</f>
        <v>1</v>
      </c>
      <c r="X141">
        <f>Teacher_Data[[#This Row],[End_Date]]-Teacher_Data[[#This Row],[Start_Date]]</f>
        <v>46</v>
      </c>
      <c r="Y141" t="str">
        <f>_xlfn.IFS(Teacher_Data[[#This Row],[Experience_Years]]&lt;=5,"0-5 Years",Teacher_Data[[#This Row],[Experience_Years]]&lt;=10,"5-10 Years",Teacher_Data[[#This Row],[Experience_Years]]&lt;=20,"11-20 Years",TRUE,"20+ Years")</f>
        <v>0-5 Years</v>
      </c>
    </row>
    <row r="142" spans="1:25" x14ac:dyDescent="0.3">
      <c r="A142" t="s">
        <v>376</v>
      </c>
      <c r="B142" t="s">
        <v>115</v>
      </c>
      <c r="C142" t="s">
        <v>22</v>
      </c>
      <c r="D142">
        <v>30</v>
      </c>
      <c r="E142" t="s">
        <v>57</v>
      </c>
      <c r="F142" t="s">
        <v>100</v>
      </c>
      <c r="G142" t="s">
        <v>58</v>
      </c>
      <c r="H142" t="s">
        <v>59</v>
      </c>
      <c r="I142" t="s">
        <v>27</v>
      </c>
      <c r="J142" s="1">
        <v>45296</v>
      </c>
      <c r="K142" s="1">
        <v>45340</v>
      </c>
      <c r="L142" t="s">
        <v>28</v>
      </c>
      <c r="M142" s="2">
        <v>100</v>
      </c>
      <c r="O142" t="s">
        <v>29</v>
      </c>
      <c r="P142">
        <v>20</v>
      </c>
      <c r="Q142" t="s">
        <v>40</v>
      </c>
      <c r="R142" t="s">
        <v>31</v>
      </c>
      <c r="S142" t="s">
        <v>377</v>
      </c>
      <c r="T142">
        <v>25</v>
      </c>
      <c r="U142" t="str">
        <f>IF(Teacher_Data[[#This Row],[Completion_Status]]="Completed","Yes","No")</f>
        <v>No</v>
      </c>
      <c r="V142">
        <f>IF(Teacher_Data[[#This Row],[Completion_Status]]="Completed",1,0)</f>
        <v>0</v>
      </c>
      <c r="W142">
        <f>1</f>
        <v>1</v>
      </c>
      <c r="X142">
        <f>Teacher_Data[[#This Row],[End_Date]]-Teacher_Data[[#This Row],[Start_Date]]</f>
        <v>44</v>
      </c>
      <c r="Y142" t="str">
        <f>_xlfn.IFS(Teacher_Data[[#This Row],[Experience_Years]]&lt;=5,"0-5 Years",Teacher_Data[[#This Row],[Experience_Years]]&lt;=10,"5-10 Years",Teacher_Data[[#This Row],[Experience_Years]]&lt;=20,"11-20 Years",TRUE,"20+ Years")</f>
        <v>20+ Years</v>
      </c>
    </row>
    <row r="143" spans="1:25" x14ac:dyDescent="0.3">
      <c r="A143" t="s">
        <v>378</v>
      </c>
      <c r="B143" t="s">
        <v>44</v>
      </c>
      <c r="C143" t="s">
        <v>22</v>
      </c>
      <c r="D143">
        <v>48</v>
      </c>
      <c r="E143" t="s">
        <v>66</v>
      </c>
      <c r="F143" t="s">
        <v>100</v>
      </c>
      <c r="G143" t="s">
        <v>58</v>
      </c>
      <c r="H143" t="s">
        <v>59</v>
      </c>
      <c r="I143" t="s">
        <v>46</v>
      </c>
      <c r="J143" s="1">
        <v>45570</v>
      </c>
      <c r="K143" s="1">
        <v>45601</v>
      </c>
      <c r="L143" t="s">
        <v>28</v>
      </c>
      <c r="M143" s="2">
        <v>54</v>
      </c>
      <c r="O143" t="s">
        <v>29</v>
      </c>
      <c r="P143">
        <v>23</v>
      </c>
      <c r="Q143" t="s">
        <v>40</v>
      </c>
      <c r="R143" t="s">
        <v>72</v>
      </c>
      <c r="S143" t="s">
        <v>379</v>
      </c>
      <c r="T143">
        <v>16</v>
      </c>
      <c r="U143" t="str">
        <f>IF(Teacher_Data[[#This Row],[Completion_Status]]="Completed","Yes","No")</f>
        <v>No</v>
      </c>
      <c r="V143">
        <f>IF(Teacher_Data[[#This Row],[Completion_Status]]="Completed",1,0)</f>
        <v>0</v>
      </c>
      <c r="W143">
        <f>1</f>
        <v>1</v>
      </c>
      <c r="X143">
        <f>Teacher_Data[[#This Row],[End_Date]]-Teacher_Data[[#This Row],[Start_Date]]</f>
        <v>31</v>
      </c>
      <c r="Y143" t="str">
        <f>_xlfn.IFS(Teacher_Data[[#This Row],[Experience_Years]]&lt;=5,"0-5 Years",Teacher_Data[[#This Row],[Experience_Years]]&lt;=10,"5-10 Years",Teacher_Data[[#This Row],[Experience_Years]]&lt;=20,"11-20 Years",TRUE,"20+ Years")</f>
        <v>11-20 Years</v>
      </c>
    </row>
    <row r="144" spans="1:25" x14ac:dyDescent="0.3">
      <c r="A144" t="s">
        <v>380</v>
      </c>
      <c r="B144" t="s">
        <v>115</v>
      </c>
      <c r="C144" t="s">
        <v>35</v>
      </c>
      <c r="D144">
        <v>31</v>
      </c>
      <c r="E144" t="s">
        <v>36</v>
      </c>
      <c r="F144" t="s">
        <v>67</v>
      </c>
      <c r="G144" t="s">
        <v>25</v>
      </c>
      <c r="H144" t="s">
        <v>59</v>
      </c>
      <c r="I144" t="s">
        <v>46</v>
      </c>
      <c r="J144" s="1">
        <v>45373</v>
      </c>
      <c r="K144" s="1">
        <v>45419</v>
      </c>
      <c r="L144" t="s">
        <v>52</v>
      </c>
      <c r="M144" s="2">
        <v>95</v>
      </c>
      <c r="N144">
        <v>76</v>
      </c>
      <c r="O144" t="s">
        <v>53</v>
      </c>
      <c r="P144">
        <v>53</v>
      </c>
      <c r="Q144" t="s">
        <v>40</v>
      </c>
      <c r="R144" t="s">
        <v>41</v>
      </c>
      <c r="S144" t="s">
        <v>381</v>
      </c>
      <c r="T144">
        <v>1</v>
      </c>
      <c r="U144" t="str">
        <f>IF(Teacher_Data[[#This Row],[Completion_Status]]="Completed","Yes","No")</f>
        <v>Yes</v>
      </c>
      <c r="V144">
        <f>IF(Teacher_Data[[#This Row],[Completion_Status]]="Completed",1,0)</f>
        <v>1</v>
      </c>
      <c r="W144">
        <f>1</f>
        <v>1</v>
      </c>
      <c r="X144">
        <f>Teacher_Data[[#This Row],[End_Date]]-Teacher_Data[[#This Row],[Start_Date]]</f>
        <v>46</v>
      </c>
      <c r="Y144" t="str">
        <f>_xlfn.IFS(Teacher_Data[[#This Row],[Experience_Years]]&lt;=5,"0-5 Years",Teacher_Data[[#This Row],[Experience_Years]]&lt;=10,"5-10 Years",Teacher_Data[[#This Row],[Experience_Years]]&lt;=20,"11-20 Years",TRUE,"20+ Years")</f>
        <v>0-5 Years</v>
      </c>
    </row>
    <row r="145" spans="1:25" x14ac:dyDescent="0.3">
      <c r="A145" t="s">
        <v>382</v>
      </c>
      <c r="B145" t="s">
        <v>56</v>
      </c>
      <c r="C145" t="s">
        <v>35</v>
      </c>
      <c r="D145">
        <v>56</v>
      </c>
      <c r="E145" t="s">
        <v>36</v>
      </c>
      <c r="F145" t="s">
        <v>67</v>
      </c>
      <c r="G145" t="s">
        <v>25</v>
      </c>
      <c r="H145" t="s">
        <v>26</v>
      </c>
      <c r="I145" t="s">
        <v>46</v>
      </c>
      <c r="J145" s="1">
        <v>45532</v>
      </c>
      <c r="K145" s="1">
        <v>45591</v>
      </c>
      <c r="L145" t="s">
        <v>28</v>
      </c>
      <c r="M145" s="2">
        <v>93</v>
      </c>
      <c r="O145" t="s">
        <v>29</v>
      </c>
      <c r="P145">
        <v>49</v>
      </c>
      <c r="Q145" t="s">
        <v>68</v>
      </c>
      <c r="R145" t="s">
        <v>62</v>
      </c>
      <c r="S145" t="s">
        <v>383</v>
      </c>
      <c r="T145">
        <v>28</v>
      </c>
      <c r="U145" t="str">
        <f>IF(Teacher_Data[[#This Row],[Completion_Status]]="Completed","Yes","No")</f>
        <v>No</v>
      </c>
      <c r="V145">
        <f>IF(Teacher_Data[[#This Row],[Completion_Status]]="Completed",1,0)</f>
        <v>0</v>
      </c>
      <c r="W145">
        <f>1</f>
        <v>1</v>
      </c>
      <c r="X145">
        <f>Teacher_Data[[#This Row],[End_Date]]-Teacher_Data[[#This Row],[Start_Date]]</f>
        <v>59</v>
      </c>
      <c r="Y145" t="str">
        <f>_xlfn.IFS(Teacher_Data[[#This Row],[Experience_Years]]&lt;=5,"0-5 Years",Teacher_Data[[#This Row],[Experience_Years]]&lt;=10,"5-10 Years",Teacher_Data[[#This Row],[Experience_Years]]&lt;=20,"11-20 Years",TRUE,"20+ Years")</f>
        <v>20+ Years</v>
      </c>
    </row>
    <row r="146" spans="1:25" x14ac:dyDescent="0.3">
      <c r="A146" t="s">
        <v>384</v>
      </c>
      <c r="B146" t="s">
        <v>185</v>
      </c>
      <c r="C146" t="s">
        <v>35</v>
      </c>
      <c r="D146">
        <v>56</v>
      </c>
      <c r="E146" t="s">
        <v>57</v>
      </c>
      <c r="F146" t="s">
        <v>83</v>
      </c>
      <c r="G146" t="s">
        <v>58</v>
      </c>
      <c r="H146" t="s">
        <v>59</v>
      </c>
      <c r="I146" t="s">
        <v>51</v>
      </c>
      <c r="J146" s="1">
        <v>45513</v>
      </c>
      <c r="K146" s="1">
        <v>45554</v>
      </c>
      <c r="L146" t="s">
        <v>52</v>
      </c>
      <c r="M146" s="2">
        <v>46</v>
      </c>
      <c r="N146">
        <v>64</v>
      </c>
      <c r="O146" t="s">
        <v>53</v>
      </c>
      <c r="P146">
        <v>57</v>
      </c>
      <c r="Q146" t="s">
        <v>61</v>
      </c>
      <c r="R146" t="s">
        <v>72</v>
      </c>
      <c r="S146" t="s">
        <v>385</v>
      </c>
      <c r="T146">
        <v>15</v>
      </c>
      <c r="U146" t="str">
        <f>IF(Teacher_Data[[#This Row],[Completion_Status]]="Completed","Yes","No")</f>
        <v>Yes</v>
      </c>
      <c r="V146">
        <f>IF(Teacher_Data[[#This Row],[Completion_Status]]="Completed",1,0)</f>
        <v>1</v>
      </c>
      <c r="W146">
        <f>1</f>
        <v>1</v>
      </c>
      <c r="X146">
        <f>Teacher_Data[[#This Row],[End_Date]]-Teacher_Data[[#This Row],[Start_Date]]</f>
        <v>41</v>
      </c>
      <c r="Y146" t="str">
        <f>_xlfn.IFS(Teacher_Data[[#This Row],[Experience_Years]]&lt;=5,"0-5 Years",Teacher_Data[[#This Row],[Experience_Years]]&lt;=10,"5-10 Years",Teacher_Data[[#This Row],[Experience_Years]]&lt;=20,"11-20 Years",TRUE,"20+ Years")</f>
        <v>11-20 Years</v>
      </c>
    </row>
    <row r="147" spans="1:25" x14ac:dyDescent="0.3">
      <c r="A147" t="s">
        <v>386</v>
      </c>
      <c r="B147" t="s">
        <v>118</v>
      </c>
      <c r="C147" t="s">
        <v>22</v>
      </c>
      <c r="D147">
        <v>26</v>
      </c>
      <c r="E147" t="s">
        <v>36</v>
      </c>
      <c r="F147" t="s">
        <v>100</v>
      </c>
      <c r="G147" t="s">
        <v>25</v>
      </c>
      <c r="H147" t="s">
        <v>26</v>
      </c>
      <c r="I147" t="s">
        <v>51</v>
      </c>
      <c r="J147" s="1">
        <v>45516</v>
      </c>
      <c r="K147" s="1">
        <v>45557</v>
      </c>
      <c r="L147" t="s">
        <v>60</v>
      </c>
      <c r="M147" s="2">
        <v>2</v>
      </c>
      <c r="O147" t="s">
        <v>29</v>
      </c>
      <c r="P147">
        <v>18</v>
      </c>
      <c r="Q147" t="s">
        <v>68</v>
      </c>
      <c r="R147" t="s">
        <v>62</v>
      </c>
      <c r="S147" t="s">
        <v>387</v>
      </c>
      <c r="T147">
        <v>9</v>
      </c>
      <c r="U147" t="str">
        <f>IF(Teacher_Data[[#This Row],[Completion_Status]]="Completed","Yes","No")</f>
        <v>No</v>
      </c>
      <c r="V147">
        <f>IF(Teacher_Data[[#This Row],[Completion_Status]]="Completed",1,0)</f>
        <v>0</v>
      </c>
      <c r="W147">
        <f>1</f>
        <v>1</v>
      </c>
      <c r="X147">
        <f>Teacher_Data[[#This Row],[End_Date]]-Teacher_Data[[#This Row],[Start_Date]]</f>
        <v>41</v>
      </c>
      <c r="Y147" t="str">
        <f>_xlfn.IFS(Teacher_Data[[#This Row],[Experience_Years]]&lt;=5,"0-5 Years",Teacher_Data[[#This Row],[Experience_Years]]&lt;=10,"5-10 Years",Teacher_Data[[#This Row],[Experience_Years]]&lt;=20,"11-20 Years",TRUE,"20+ Years")</f>
        <v>5-10 Years</v>
      </c>
    </row>
    <row r="148" spans="1:25" x14ac:dyDescent="0.3">
      <c r="A148" t="s">
        <v>388</v>
      </c>
      <c r="B148" t="s">
        <v>191</v>
      </c>
      <c r="C148" t="s">
        <v>22</v>
      </c>
      <c r="D148">
        <v>48</v>
      </c>
      <c r="E148" t="s">
        <v>36</v>
      </c>
      <c r="F148" t="s">
        <v>100</v>
      </c>
      <c r="G148" t="s">
        <v>76</v>
      </c>
      <c r="H148" t="s">
        <v>26</v>
      </c>
      <c r="I148" t="s">
        <v>27</v>
      </c>
      <c r="J148" s="1">
        <v>45400</v>
      </c>
      <c r="K148" s="1">
        <v>45447</v>
      </c>
      <c r="L148" t="s">
        <v>28</v>
      </c>
      <c r="M148" s="2">
        <v>53</v>
      </c>
      <c r="O148" t="s">
        <v>29</v>
      </c>
      <c r="P148">
        <v>48</v>
      </c>
      <c r="Q148" t="s">
        <v>68</v>
      </c>
      <c r="R148" t="s">
        <v>62</v>
      </c>
      <c r="S148" t="s">
        <v>389</v>
      </c>
      <c r="T148">
        <v>26</v>
      </c>
      <c r="U148" t="str">
        <f>IF(Teacher_Data[[#This Row],[Completion_Status]]="Completed","Yes","No")</f>
        <v>No</v>
      </c>
      <c r="V148">
        <f>IF(Teacher_Data[[#This Row],[Completion_Status]]="Completed",1,0)</f>
        <v>0</v>
      </c>
      <c r="W148">
        <f>1</f>
        <v>1</v>
      </c>
      <c r="X148">
        <f>Teacher_Data[[#This Row],[End_Date]]-Teacher_Data[[#This Row],[Start_Date]]</f>
        <v>47</v>
      </c>
      <c r="Y148" t="str">
        <f>_xlfn.IFS(Teacher_Data[[#This Row],[Experience_Years]]&lt;=5,"0-5 Years",Teacher_Data[[#This Row],[Experience_Years]]&lt;=10,"5-10 Years",Teacher_Data[[#This Row],[Experience_Years]]&lt;=20,"11-20 Years",TRUE,"20+ Years")</f>
        <v>20+ Years</v>
      </c>
    </row>
    <row r="149" spans="1:25" x14ac:dyDescent="0.3">
      <c r="A149" t="s">
        <v>390</v>
      </c>
      <c r="B149" t="s">
        <v>156</v>
      </c>
      <c r="C149" t="s">
        <v>22</v>
      </c>
      <c r="D149">
        <v>32</v>
      </c>
      <c r="E149" t="s">
        <v>23</v>
      </c>
      <c r="F149" t="s">
        <v>24</v>
      </c>
      <c r="G149" t="s">
        <v>76</v>
      </c>
      <c r="H149" t="s">
        <v>59</v>
      </c>
      <c r="I149" t="s">
        <v>27</v>
      </c>
      <c r="J149" s="1">
        <v>45452</v>
      </c>
      <c r="K149" s="1">
        <v>45465</v>
      </c>
      <c r="L149" t="s">
        <v>52</v>
      </c>
      <c r="M149" s="2">
        <v>67</v>
      </c>
      <c r="N149">
        <v>80</v>
      </c>
      <c r="O149" t="s">
        <v>53</v>
      </c>
      <c r="P149">
        <v>34</v>
      </c>
      <c r="Q149" t="s">
        <v>40</v>
      </c>
      <c r="R149" t="s">
        <v>104</v>
      </c>
      <c r="S149" t="s">
        <v>391</v>
      </c>
      <c r="T149">
        <v>20</v>
      </c>
      <c r="U149" t="str">
        <f>IF(Teacher_Data[[#This Row],[Completion_Status]]="Completed","Yes","No")</f>
        <v>Yes</v>
      </c>
      <c r="V149">
        <f>IF(Teacher_Data[[#This Row],[Completion_Status]]="Completed",1,0)</f>
        <v>1</v>
      </c>
      <c r="W149">
        <f>1</f>
        <v>1</v>
      </c>
      <c r="X149">
        <f>Teacher_Data[[#This Row],[End_Date]]-Teacher_Data[[#This Row],[Start_Date]]</f>
        <v>13</v>
      </c>
      <c r="Y149" t="str">
        <f>_xlfn.IFS(Teacher_Data[[#This Row],[Experience_Years]]&lt;=5,"0-5 Years",Teacher_Data[[#This Row],[Experience_Years]]&lt;=10,"5-10 Years",Teacher_Data[[#This Row],[Experience_Years]]&lt;=20,"11-20 Years",TRUE,"20+ Years")</f>
        <v>11-20 Years</v>
      </c>
    </row>
    <row r="150" spans="1:25" x14ac:dyDescent="0.3">
      <c r="A150" t="s">
        <v>392</v>
      </c>
      <c r="B150" t="s">
        <v>110</v>
      </c>
      <c r="C150" t="s">
        <v>22</v>
      </c>
      <c r="D150">
        <v>53</v>
      </c>
      <c r="E150" t="s">
        <v>57</v>
      </c>
      <c r="F150" t="s">
        <v>37</v>
      </c>
      <c r="G150" t="s">
        <v>25</v>
      </c>
      <c r="H150" t="s">
        <v>39</v>
      </c>
      <c r="I150" t="s">
        <v>46</v>
      </c>
      <c r="J150" s="1">
        <v>45294</v>
      </c>
      <c r="K150" s="1">
        <v>45317</v>
      </c>
      <c r="L150" t="s">
        <v>28</v>
      </c>
      <c r="M150" s="2">
        <v>55</v>
      </c>
      <c r="O150" t="s">
        <v>29</v>
      </c>
      <c r="P150">
        <v>46</v>
      </c>
      <c r="Q150" t="s">
        <v>61</v>
      </c>
      <c r="R150" t="s">
        <v>62</v>
      </c>
      <c r="S150" t="s">
        <v>393</v>
      </c>
      <c r="T150">
        <v>29</v>
      </c>
      <c r="U150" t="str">
        <f>IF(Teacher_Data[[#This Row],[Completion_Status]]="Completed","Yes","No")</f>
        <v>No</v>
      </c>
      <c r="V150">
        <f>IF(Teacher_Data[[#This Row],[Completion_Status]]="Completed",1,0)</f>
        <v>0</v>
      </c>
      <c r="W150">
        <f>1</f>
        <v>1</v>
      </c>
      <c r="X150">
        <f>Teacher_Data[[#This Row],[End_Date]]-Teacher_Data[[#This Row],[Start_Date]]</f>
        <v>23</v>
      </c>
      <c r="Y150" t="str">
        <f>_xlfn.IFS(Teacher_Data[[#This Row],[Experience_Years]]&lt;=5,"0-5 Years",Teacher_Data[[#This Row],[Experience_Years]]&lt;=10,"5-10 Years",Teacher_Data[[#This Row],[Experience_Years]]&lt;=20,"11-20 Years",TRUE,"20+ Years")</f>
        <v>20+ Years</v>
      </c>
    </row>
    <row r="151" spans="1:25" x14ac:dyDescent="0.3">
      <c r="A151" t="s">
        <v>394</v>
      </c>
      <c r="B151" t="s">
        <v>75</v>
      </c>
      <c r="C151" t="s">
        <v>22</v>
      </c>
      <c r="D151">
        <v>36</v>
      </c>
      <c r="E151" t="s">
        <v>36</v>
      </c>
      <c r="F151" t="s">
        <v>100</v>
      </c>
      <c r="G151" t="s">
        <v>38</v>
      </c>
      <c r="H151" t="s">
        <v>39</v>
      </c>
      <c r="I151" t="s">
        <v>46</v>
      </c>
      <c r="J151" s="1">
        <v>45522</v>
      </c>
      <c r="K151" s="1">
        <v>45582</v>
      </c>
      <c r="L151" t="s">
        <v>52</v>
      </c>
      <c r="M151" s="2">
        <v>43</v>
      </c>
      <c r="N151">
        <v>66</v>
      </c>
      <c r="O151" t="s">
        <v>53</v>
      </c>
      <c r="P151">
        <v>13</v>
      </c>
      <c r="Q151" t="s">
        <v>68</v>
      </c>
      <c r="R151" t="s">
        <v>72</v>
      </c>
      <c r="S151" t="s">
        <v>395</v>
      </c>
      <c r="T151">
        <v>10</v>
      </c>
      <c r="U151" t="str">
        <f>IF(Teacher_Data[[#This Row],[Completion_Status]]="Completed","Yes","No")</f>
        <v>Yes</v>
      </c>
      <c r="V151">
        <f>IF(Teacher_Data[[#This Row],[Completion_Status]]="Completed",1,0)</f>
        <v>1</v>
      </c>
      <c r="W151">
        <f>1</f>
        <v>1</v>
      </c>
      <c r="X151">
        <f>Teacher_Data[[#This Row],[End_Date]]-Teacher_Data[[#This Row],[Start_Date]]</f>
        <v>60</v>
      </c>
      <c r="Y151" t="str">
        <f>_xlfn.IFS(Teacher_Data[[#This Row],[Experience_Years]]&lt;=5,"0-5 Years",Teacher_Data[[#This Row],[Experience_Years]]&lt;=10,"5-10 Years",Teacher_Data[[#This Row],[Experience_Years]]&lt;=20,"11-20 Years",TRUE,"20+ Years")</f>
        <v>5-10 Years</v>
      </c>
    </row>
    <row r="152" spans="1:25" x14ac:dyDescent="0.3">
      <c r="A152" t="s">
        <v>396</v>
      </c>
      <c r="B152" t="s">
        <v>140</v>
      </c>
      <c r="C152" t="s">
        <v>35</v>
      </c>
      <c r="D152">
        <v>43</v>
      </c>
      <c r="E152" t="s">
        <v>36</v>
      </c>
      <c r="F152" t="s">
        <v>83</v>
      </c>
      <c r="G152" t="s">
        <v>25</v>
      </c>
      <c r="H152" t="s">
        <v>50</v>
      </c>
      <c r="I152" t="s">
        <v>46</v>
      </c>
      <c r="J152" s="1">
        <v>45402</v>
      </c>
      <c r="K152" s="1">
        <v>45441</v>
      </c>
      <c r="L152" t="s">
        <v>52</v>
      </c>
      <c r="M152" s="2">
        <v>91</v>
      </c>
      <c r="N152">
        <v>54</v>
      </c>
      <c r="O152" t="s">
        <v>53</v>
      </c>
      <c r="P152">
        <v>11</v>
      </c>
      <c r="Q152" t="s">
        <v>40</v>
      </c>
      <c r="R152" t="s">
        <v>62</v>
      </c>
      <c r="S152" t="s">
        <v>397</v>
      </c>
      <c r="T152">
        <v>25</v>
      </c>
      <c r="U152" t="str">
        <f>IF(Teacher_Data[[#This Row],[Completion_Status]]="Completed","Yes","No")</f>
        <v>Yes</v>
      </c>
      <c r="V152">
        <f>IF(Teacher_Data[[#This Row],[Completion_Status]]="Completed",1,0)</f>
        <v>1</v>
      </c>
      <c r="W152">
        <f>1</f>
        <v>1</v>
      </c>
      <c r="X152">
        <f>Teacher_Data[[#This Row],[End_Date]]-Teacher_Data[[#This Row],[Start_Date]]</f>
        <v>39</v>
      </c>
      <c r="Y152" t="str">
        <f>_xlfn.IFS(Teacher_Data[[#This Row],[Experience_Years]]&lt;=5,"0-5 Years",Teacher_Data[[#This Row],[Experience_Years]]&lt;=10,"5-10 Years",Teacher_Data[[#This Row],[Experience_Years]]&lt;=20,"11-20 Years",TRUE,"20+ Years")</f>
        <v>20+ Years</v>
      </c>
    </row>
    <row r="153" spans="1:25" x14ac:dyDescent="0.3">
      <c r="A153" t="s">
        <v>398</v>
      </c>
      <c r="B153" t="s">
        <v>110</v>
      </c>
      <c r="C153" t="s">
        <v>35</v>
      </c>
      <c r="D153">
        <v>52</v>
      </c>
      <c r="E153" t="s">
        <v>23</v>
      </c>
      <c r="F153" t="s">
        <v>100</v>
      </c>
      <c r="G153" t="s">
        <v>76</v>
      </c>
      <c r="H153" t="s">
        <v>50</v>
      </c>
      <c r="I153" t="s">
        <v>27</v>
      </c>
      <c r="J153" s="1">
        <v>45437</v>
      </c>
      <c r="K153" s="1">
        <v>45456</v>
      </c>
      <c r="L153" t="s">
        <v>28</v>
      </c>
      <c r="M153" s="2">
        <v>73</v>
      </c>
      <c r="O153" t="s">
        <v>29</v>
      </c>
      <c r="P153">
        <v>8</v>
      </c>
      <c r="Q153" t="s">
        <v>61</v>
      </c>
      <c r="R153" t="s">
        <v>62</v>
      </c>
      <c r="S153" t="s">
        <v>399</v>
      </c>
      <c r="T153">
        <v>29</v>
      </c>
      <c r="U153" t="str">
        <f>IF(Teacher_Data[[#This Row],[Completion_Status]]="Completed","Yes","No")</f>
        <v>No</v>
      </c>
      <c r="V153">
        <f>IF(Teacher_Data[[#This Row],[Completion_Status]]="Completed",1,0)</f>
        <v>0</v>
      </c>
      <c r="W153">
        <f>1</f>
        <v>1</v>
      </c>
      <c r="X153">
        <f>Teacher_Data[[#This Row],[End_Date]]-Teacher_Data[[#This Row],[Start_Date]]</f>
        <v>19</v>
      </c>
      <c r="Y153" t="str">
        <f>_xlfn.IFS(Teacher_Data[[#This Row],[Experience_Years]]&lt;=5,"0-5 Years",Teacher_Data[[#This Row],[Experience_Years]]&lt;=10,"5-10 Years",Teacher_Data[[#This Row],[Experience_Years]]&lt;=20,"11-20 Years",TRUE,"20+ Years")</f>
        <v>20+ Years</v>
      </c>
    </row>
    <row r="154" spans="1:25" x14ac:dyDescent="0.3">
      <c r="A154" t="s">
        <v>400</v>
      </c>
      <c r="B154" t="s">
        <v>115</v>
      </c>
      <c r="C154" t="s">
        <v>35</v>
      </c>
      <c r="D154">
        <v>59</v>
      </c>
      <c r="E154" t="s">
        <v>23</v>
      </c>
      <c r="F154" t="s">
        <v>37</v>
      </c>
      <c r="G154" t="s">
        <v>58</v>
      </c>
      <c r="H154" t="s">
        <v>59</v>
      </c>
      <c r="I154" t="s">
        <v>27</v>
      </c>
      <c r="J154" s="1">
        <v>45355</v>
      </c>
      <c r="K154" s="1">
        <v>45409</v>
      </c>
      <c r="L154" t="s">
        <v>28</v>
      </c>
      <c r="M154" s="2">
        <v>82</v>
      </c>
      <c r="O154" t="s">
        <v>29</v>
      </c>
      <c r="P154">
        <v>24</v>
      </c>
      <c r="Q154" t="s">
        <v>68</v>
      </c>
      <c r="R154" t="s">
        <v>62</v>
      </c>
      <c r="S154" t="s">
        <v>401</v>
      </c>
      <c r="T154">
        <v>33</v>
      </c>
      <c r="U154" t="str">
        <f>IF(Teacher_Data[[#This Row],[Completion_Status]]="Completed","Yes","No")</f>
        <v>No</v>
      </c>
      <c r="V154">
        <f>IF(Teacher_Data[[#This Row],[Completion_Status]]="Completed",1,0)</f>
        <v>0</v>
      </c>
      <c r="W154">
        <f>1</f>
        <v>1</v>
      </c>
      <c r="X154">
        <f>Teacher_Data[[#This Row],[End_Date]]-Teacher_Data[[#This Row],[Start_Date]]</f>
        <v>54</v>
      </c>
      <c r="Y154" t="str">
        <f>_xlfn.IFS(Teacher_Data[[#This Row],[Experience_Years]]&lt;=5,"0-5 Years",Teacher_Data[[#This Row],[Experience_Years]]&lt;=10,"5-10 Years",Teacher_Data[[#This Row],[Experience_Years]]&lt;=20,"11-20 Years",TRUE,"20+ Years")</f>
        <v>20+ Years</v>
      </c>
    </row>
    <row r="155" spans="1:25" x14ac:dyDescent="0.3">
      <c r="A155" t="s">
        <v>402</v>
      </c>
      <c r="B155" t="s">
        <v>176</v>
      </c>
      <c r="C155" t="s">
        <v>35</v>
      </c>
      <c r="D155">
        <v>42</v>
      </c>
      <c r="E155" t="s">
        <v>23</v>
      </c>
      <c r="F155" t="s">
        <v>100</v>
      </c>
      <c r="G155" t="s">
        <v>38</v>
      </c>
      <c r="H155" t="s">
        <v>59</v>
      </c>
      <c r="I155" t="s">
        <v>27</v>
      </c>
      <c r="J155" s="1">
        <v>45490</v>
      </c>
      <c r="K155" s="1">
        <v>45542</v>
      </c>
      <c r="L155" t="s">
        <v>60</v>
      </c>
      <c r="M155" s="2">
        <v>18</v>
      </c>
      <c r="O155" t="s">
        <v>29</v>
      </c>
      <c r="P155">
        <v>12</v>
      </c>
      <c r="Q155" t="s">
        <v>40</v>
      </c>
      <c r="R155" t="s">
        <v>72</v>
      </c>
      <c r="S155" t="s">
        <v>403</v>
      </c>
      <c r="T155">
        <v>32</v>
      </c>
      <c r="U155" t="str">
        <f>IF(Teacher_Data[[#This Row],[Completion_Status]]="Completed","Yes","No")</f>
        <v>No</v>
      </c>
      <c r="V155">
        <f>IF(Teacher_Data[[#This Row],[Completion_Status]]="Completed",1,0)</f>
        <v>0</v>
      </c>
      <c r="W155">
        <f>1</f>
        <v>1</v>
      </c>
      <c r="X155">
        <f>Teacher_Data[[#This Row],[End_Date]]-Teacher_Data[[#This Row],[Start_Date]]</f>
        <v>52</v>
      </c>
      <c r="Y155" t="str">
        <f>_xlfn.IFS(Teacher_Data[[#This Row],[Experience_Years]]&lt;=5,"0-5 Years",Teacher_Data[[#This Row],[Experience_Years]]&lt;=10,"5-10 Years",Teacher_Data[[#This Row],[Experience_Years]]&lt;=20,"11-20 Years",TRUE,"20+ Years")</f>
        <v>20+ Years</v>
      </c>
    </row>
    <row r="156" spans="1:25" x14ac:dyDescent="0.3">
      <c r="A156" t="s">
        <v>404</v>
      </c>
      <c r="B156" t="s">
        <v>99</v>
      </c>
      <c r="C156" t="s">
        <v>22</v>
      </c>
      <c r="D156">
        <v>53</v>
      </c>
      <c r="E156" t="s">
        <v>36</v>
      </c>
      <c r="F156" t="s">
        <v>67</v>
      </c>
      <c r="G156" t="s">
        <v>58</v>
      </c>
      <c r="H156" t="s">
        <v>39</v>
      </c>
      <c r="I156" t="s">
        <v>46</v>
      </c>
      <c r="J156" s="1">
        <v>45381</v>
      </c>
      <c r="K156" s="1">
        <v>45430</v>
      </c>
      <c r="L156" t="s">
        <v>60</v>
      </c>
      <c r="M156" s="2">
        <v>17</v>
      </c>
      <c r="O156" t="s">
        <v>29</v>
      </c>
      <c r="P156">
        <v>27</v>
      </c>
      <c r="Q156" t="s">
        <v>40</v>
      </c>
      <c r="R156" t="s">
        <v>104</v>
      </c>
      <c r="S156" t="s">
        <v>405</v>
      </c>
      <c r="T156">
        <v>1</v>
      </c>
      <c r="U156" t="str">
        <f>IF(Teacher_Data[[#This Row],[Completion_Status]]="Completed","Yes","No")</f>
        <v>No</v>
      </c>
      <c r="V156">
        <f>IF(Teacher_Data[[#This Row],[Completion_Status]]="Completed",1,0)</f>
        <v>0</v>
      </c>
      <c r="W156">
        <f>1</f>
        <v>1</v>
      </c>
      <c r="X156">
        <f>Teacher_Data[[#This Row],[End_Date]]-Teacher_Data[[#This Row],[Start_Date]]</f>
        <v>49</v>
      </c>
      <c r="Y156" t="str">
        <f>_xlfn.IFS(Teacher_Data[[#This Row],[Experience_Years]]&lt;=5,"0-5 Years",Teacher_Data[[#This Row],[Experience_Years]]&lt;=10,"5-10 Years",Teacher_Data[[#This Row],[Experience_Years]]&lt;=20,"11-20 Years",TRUE,"20+ Years")</f>
        <v>0-5 Years</v>
      </c>
    </row>
    <row r="157" spans="1:25" x14ac:dyDescent="0.3">
      <c r="A157" t="s">
        <v>406</v>
      </c>
      <c r="B157" t="s">
        <v>194</v>
      </c>
      <c r="C157" t="s">
        <v>22</v>
      </c>
      <c r="D157">
        <v>35</v>
      </c>
      <c r="E157" t="s">
        <v>66</v>
      </c>
      <c r="F157" t="s">
        <v>24</v>
      </c>
      <c r="G157" t="s">
        <v>76</v>
      </c>
      <c r="H157" t="s">
        <v>59</v>
      </c>
      <c r="I157" t="s">
        <v>27</v>
      </c>
      <c r="J157" s="1">
        <v>45383</v>
      </c>
      <c r="K157" s="1">
        <v>45390</v>
      </c>
      <c r="L157" t="s">
        <v>28</v>
      </c>
      <c r="M157" s="2">
        <v>50</v>
      </c>
      <c r="O157" t="s">
        <v>29</v>
      </c>
      <c r="P157">
        <v>23</v>
      </c>
      <c r="Q157" t="s">
        <v>68</v>
      </c>
      <c r="R157" t="s">
        <v>41</v>
      </c>
      <c r="S157" t="s">
        <v>407</v>
      </c>
      <c r="T157">
        <v>10</v>
      </c>
      <c r="U157" t="str">
        <f>IF(Teacher_Data[[#This Row],[Completion_Status]]="Completed","Yes","No")</f>
        <v>No</v>
      </c>
      <c r="V157">
        <f>IF(Teacher_Data[[#This Row],[Completion_Status]]="Completed",1,0)</f>
        <v>0</v>
      </c>
      <c r="W157">
        <f>1</f>
        <v>1</v>
      </c>
      <c r="X157">
        <f>Teacher_Data[[#This Row],[End_Date]]-Teacher_Data[[#This Row],[Start_Date]]</f>
        <v>7</v>
      </c>
      <c r="Y157" t="str">
        <f>_xlfn.IFS(Teacher_Data[[#This Row],[Experience_Years]]&lt;=5,"0-5 Years",Teacher_Data[[#This Row],[Experience_Years]]&lt;=10,"5-10 Years",Teacher_Data[[#This Row],[Experience_Years]]&lt;=20,"11-20 Years",TRUE,"20+ Years")</f>
        <v>5-10 Years</v>
      </c>
    </row>
    <row r="158" spans="1:25" x14ac:dyDescent="0.3">
      <c r="A158" t="s">
        <v>408</v>
      </c>
      <c r="B158" t="s">
        <v>191</v>
      </c>
      <c r="C158" t="s">
        <v>22</v>
      </c>
      <c r="D158">
        <v>59</v>
      </c>
      <c r="E158" t="s">
        <v>36</v>
      </c>
      <c r="F158" t="s">
        <v>37</v>
      </c>
      <c r="G158" t="s">
        <v>58</v>
      </c>
      <c r="H158" t="s">
        <v>59</v>
      </c>
      <c r="I158" t="s">
        <v>51</v>
      </c>
      <c r="J158" s="1">
        <v>45397</v>
      </c>
      <c r="K158" s="1">
        <v>45418</v>
      </c>
      <c r="L158" t="s">
        <v>52</v>
      </c>
      <c r="M158" s="2">
        <v>61</v>
      </c>
      <c r="N158">
        <v>69</v>
      </c>
      <c r="O158" t="s">
        <v>53</v>
      </c>
      <c r="P158">
        <v>42</v>
      </c>
      <c r="Q158" t="s">
        <v>68</v>
      </c>
      <c r="R158" t="s">
        <v>72</v>
      </c>
      <c r="S158" t="s">
        <v>409</v>
      </c>
      <c r="T158">
        <v>17</v>
      </c>
      <c r="U158" t="str">
        <f>IF(Teacher_Data[[#This Row],[Completion_Status]]="Completed","Yes","No")</f>
        <v>Yes</v>
      </c>
      <c r="V158">
        <f>IF(Teacher_Data[[#This Row],[Completion_Status]]="Completed",1,0)</f>
        <v>1</v>
      </c>
      <c r="W158">
        <f>1</f>
        <v>1</v>
      </c>
      <c r="X158">
        <f>Teacher_Data[[#This Row],[End_Date]]-Teacher_Data[[#This Row],[Start_Date]]</f>
        <v>21</v>
      </c>
      <c r="Y158" t="str">
        <f>_xlfn.IFS(Teacher_Data[[#This Row],[Experience_Years]]&lt;=5,"0-5 Years",Teacher_Data[[#This Row],[Experience_Years]]&lt;=10,"5-10 Years",Teacher_Data[[#This Row],[Experience_Years]]&lt;=20,"11-20 Years",TRUE,"20+ Years")</f>
        <v>11-20 Years</v>
      </c>
    </row>
    <row r="159" spans="1:25" x14ac:dyDescent="0.3">
      <c r="A159" t="s">
        <v>410</v>
      </c>
      <c r="B159" t="s">
        <v>89</v>
      </c>
      <c r="C159" t="s">
        <v>22</v>
      </c>
      <c r="D159">
        <v>48</v>
      </c>
      <c r="E159" t="s">
        <v>57</v>
      </c>
      <c r="F159" t="s">
        <v>37</v>
      </c>
      <c r="G159" t="s">
        <v>58</v>
      </c>
      <c r="H159" t="s">
        <v>26</v>
      </c>
      <c r="I159" t="s">
        <v>51</v>
      </c>
      <c r="J159" s="1">
        <v>45476</v>
      </c>
      <c r="K159" s="1">
        <v>45487</v>
      </c>
      <c r="L159" t="s">
        <v>52</v>
      </c>
      <c r="M159" s="2">
        <v>41</v>
      </c>
      <c r="N159">
        <v>75</v>
      </c>
      <c r="O159" t="s">
        <v>53</v>
      </c>
      <c r="P159">
        <v>26</v>
      </c>
      <c r="Q159" t="s">
        <v>68</v>
      </c>
      <c r="R159" t="s">
        <v>62</v>
      </c>
      <c r="S159" t="s">
        <v>411</v>
      </c>
      <c r="T159">
        <v>15</v>
      </c>
      <c r="U159" t="str">
        <f>IF(Teacher_Data[[#This Row],[Completion_Status]]="Completed","Yes","No")</f>
        <v>Yes</v>
      </c>
      <c r="V159">
        <f>IF(Teacher_Data[[#This Row],[Completion_Status]]="Completed",1,0)</f>
        <v>1</v>
      </c>
      <c r="W159">
        <f>1</f>
        <v>1</v>
      </c>
      <c r="X159">
        <f>Teacher_Data[[#This Row],[End_Date]]-Teacher_Data[[#This Row],[Start_Date]]</f>
        <v>11</v>
      </c>
      <c r="Y159" t="str">
        <f>_xlfn.IFS(Teacher_Data[[#This Row],[Experience_Years]]&lt;=5,"0-5 Years",Teacher_Data[[#This Row],[Experience_Years]]&lt;=10,"5-10 Years",Teacher_Data[[#This Row],[Experience_Years]]&lt;=20,"11-20 Years",TRUE,"20+ Years")</f>
        <v>11-20 Years</v>
      </c>
    </row>
    <row r="160" spans="1:25" x14ac:dyDescent="0.3">
      <c r="A160" t="s">
        <v>412</v>
      </c>
      <c r="B160" t="s">
        <v>89</v>
      </c>
      <c r="C160" t="s">
        <v>22</v>
      </c>
      <c r="D160">
        <v>31</v>
      </c>
      <c r="E160" t="s">
        <v>66</v>
      </c>
      <c r="F160" t="s">
        <v>100</v>
      </c>
      <c r="G160" t="s">
        <v>25</v>
      </c>
      <c r="H160" t="s">
        <v>50</v>
      </c>
      <c r="I160" t="s">
        <v>51</v>
      </c>
      <c r="J160" s="1">
        <v>45345</v>
      </c>
      <c r="K160" s="1">
        <v>45379</v>
      </c>
      <c r="L160" t="s">
        <v>52</v>
      </c>
      <c r="M160" s="2">
        <v>48</v>
      </c>
      <c r="N160">
        <v>97</v>
      </c>
      <c r="O160" t="s">
        <v>53</v>
      </c>
      <c r="P160">
        <v>19</v>
      </c>
      <c r="Q160" t="s">
        <v>61</v>
      </c>
      <c r="R160" t="s">
        <v>104</v>
      </c>
      <c r="S160" t="s">
        <v>413</v>
      </c>
      <c r="T160">
        <v>14</v>
      </c>
      <c r="U160" t="str">
        <f>IF(Teacher_Data[[#This Row],[Completion_Status]]="Completed","Yes","No")</f>
        <v>Yes</v>
      </c>
      <c r="V160">
        <f>IF(Teacher_Data[[#This Row],[Completion_Status]]="Completed",1,0)</f>
        <v>1</v>
      </c>
      <c r="W160">
        <f>1</f>
        <v>1</v>
      </c>
      <c r="X160">
        <f>Teacher_Data[[#This Row],[End_Date]]-Teacher_Data[[#This Row],[Start_Date]]</f>
        <v>34</v>
      </c>
      <c r="Y160" t="str">
        <f>_xlfn.IFS(Teacher_Data[[#This Row],[Experience_Years]]&lt;=5,"0-5 Years",Teacher_Data[[#This Row],[Experience_Years]]&lt;=10,"5-10 Years",Teacher_Data[[#This Row],[Experience_Years]]&lt;=20,"11-20 Years",TRUE,"20+ Years")</f>
        <v>11-20 Years</v>
      </c>
    </row>
    <row r="161" spans="1:25" x14ac:dyDescent="0.3">
      <c r="A161" t="s">
        <v>414</v>
      </c>
      <c r="B161" t="s">
        <v>94</v>
      </c>
      <c r="C161" t="s">
        <v>35</v>
      </c>
      <c r="D161">
        <v>27</v>
      </c>
      <c r="E161" t="s">
        <v>57</v>
      </c>
      <c r="F161" t="s">
        <v>67</v>
      </c>
      <c r="G161" t="s">
        <v>25</v>
      </c>
      <c r="H161" t="s">
        <v>26</v>
      </c>
      <c r="I161" t="s">
        <v>46</v>
      </c>
      <c r="J161" s="1">
        <v>45503</v>
      </c>
      <c r="K161" s="1">
        <v>45513</v>
      </c>
      <c r="L161" t="s">
        <v>52</v>
      </c>
      <c r="M161" s="2">
        <v>77</v>
      </c>
      <c r="N161">
        <v>50</v>
      </c>
      <c r="O161" t="s">
        <v>53</v>
      </c>
      <c r="P161">
        <v>58</v>
      </c>
      <c r="Q161" t="s">
        <v>30</v>
      </c>
      <c r="R161" t="s">
        <v>41</v>
      </c>
      <c r="S161" t="s">
        <v>415</v>
      </c>
      <c r="T161">
        <v>16</v>
      </c>
      <c r="U161" t="str">
        <f>IF(Teacher_Data[[#This Row],[Completion_Status]]="Completed","Yes","No")</f>
        <v>Yes</v>
      </c>
      <c r="V161">
        <f>IF(Teacher_Data[[#This Row],[Completion_Status]]="Completed",1,0)</f>
        <v>1</v>
      </c>
      <c r="W161">
        <f>1</f>
        <v>1</v>
      </c>
      <c r="X161">
        <f>Teacher_Data[[#This Row],[End_Date]]-Teacher_Data[[#This Row],[Start_Date]]</f>
        <v>10</v>
      </c>
      <c r="Y161" t="str">
        <f>_xlfn.IFS(Teacher_Data[[#This Row],[Experience_Years]]&lt;=5,"0-5 Years",Teacher_Data[[#This Row],[Experience_Years]]&lt;=10,"5-10 Years",Teacher_Data[[#This Row],[Experience_Years]]&lt;=20,"11-20 Years",TRUE,"20+ Years")</f>
        <v>11-20 Years</v>
      </c>
    </row>
    <row r="162" spans="1:25" x14ac:dyDescent="0.3">
      <c r="A162" t="s">
        <v>416</v>
      </c>
      <c r="B162" t="s">
        <v>417</v>
      </c>
      <c r="C162" t="s">
        <v>35</v>
      </c>
      <c r="D162">
        <v>60</v>
      </c>
      <c r="E162" t="s">
        <v>23</v>
      </c>
      <c r="F162" t="s">
        <v>83</v>
      </c>
      <c r="G162" t="s">
        <v>76</v>
      </c>
      <c r="H162" t="s">
        <v>39</v>
      </c>
      <c r="I162" t="s">
        <v>27</v>
      </c>
      <c r="J162" s="1">
        <v>45457</v>
      </c>
      <c r="K162" s="1">
        <v>45503</v>
      </c>
      <c r="L162" t="s">
        <v>52</v>
      </c>
      <c r="M162" s="2">
        <v>80</v>
      </c>
      <c r="N162">
        <v>90</v>
      </c>
      <c r="O162" t="s">
        <v>53</v>
      </c>
      <c r="P162">
        <v>41</v>
      </c>
      <c r="Q162" t="s">
        <v>68</v>
      </c>
      <c r="R162" t="s">
        <v>31</v>
      </c>
      <c r="S162" t="s">
        <v>418</v>
      </c>
      <c r="T162">
        <v>18</v>
      </c>
      <c r="U162" t="str">
        <f>IF(Teacher_Data[[#This Row],[Completion_Status]]="Completed","Yes","No")</f>
        <v>Yes</v>
      </c>
      <c r="V162">
        <f>IF(Teacher_Data[[#This Row],[Completion_Status]]="Completed",1,0)</f>
        <v>1</v>
      </c>
      <c r="W162">
        <f>1</f>
        <v>1</v>
      </c>
      <c r="X162">
        <f>Teacher_Data[[#This Row],[End_Date]]-Teacher_Data[[#This Row],[Start_Date]]</f>
        <v>46</v>
      </c>
      <c r="Y162" t="str">
        <f>_xlfn.IFS(Teacher_Data[[#This Row],[Experience_Years]]&lt;=5,"0-5 Years",Teacher_Data[[#This Row],[Experience_Years]]&lt;=10,"5-10 Years",Teacher_Data[[#This Row],[Experience_Years]]&lt;=20,"11-20 Years",TRUE,"20+ Years")</f>
        <v>11-20 Years</v>
      </c>
    </row>
    <row r="163" spans="1:25" x14ac:dyDescent="0.3">
      <c r="A163" t="s">
        <v>419</v>
      </c>
      <c r="B163" t="s">
        <v>65</v>
      </c>
      <c r="C163" t="s">
        <v>35</v>
      </c>
      <c r="D163">
        <v>48</v>
      </c>
      <c r="E163" t="s">
        <v>36</v>
      </c>
      <c r="F163" t="s">
        <v>100</v>
      </c>
      <c r="G163" t="s">
        <v>38</v>
      </c>
      <c r="H163" t="s">
        <v>39</v>
      </c>
      <c r="I163" t="s">
        <v>46</v>
      </c>
      <c r="J163" s="1">
        <v>45423</v>
      </c>
      <c r="K163" s="1">
        <v>45476</v>
      </c>
      <c r="L163" t="s">
        <v>60</v>
      </c>
      <c r="M163" s="2">
        <v>25</v>
      </c>
      <c r="O163" t="s">
        <v>29</v>
      </c>
      <c r="P163">
        <v>45</v>
      </c>
      <c r="Q163" t="s">
        <v>61</v>
      </c>
      <c r="R163" t="s">
        <v>62</v>
      </c>
      <c r="S163" t="s">
        <v>420</v>
      </c>
      <c r="T163">
        <v>20</v>
      </c>
      <c r="U163" t="str">
        <f>IF(Teacher_Data[[#This Row],[Completion_Status]]="Completed","Yes","No")</f>
        <v>No</v>
      </c>
      <c r="V163">
        <f>IF(Teacher_Data[[#This Row],[Completion_Status]]="Completed",1,0)</f>
        <v>0</v>
      </c>
      <c r="W163">
        <f>1</f>
        <v>1</v>
      </c>
      <c r="X163">
        <f>Teacher_Data[[#This Row],[End_Date]]-Teacher_Data[[#This Row],[Start_Date]]</f>
        <v>53</v>
      </c>
      <c r="Y163" t="str">
        <f>_xlfn.IFS(Teacher_Data[[#This Row],[Experience_Years]]&lt;=5,"0-5 Years",Teacher_Data[[#This Row],[Experience_Years]]&lt;=10,"5-10 Years",Teacher_Data[[#This Row],[Experience_Years]]&lt;=20,"11-20 Years",TRUE,"20+ Years")</f>
        <v>11-20 Years</v>
      </c>
    </row>
    <row r="164" spans="1:25" x14ac:dyDescent="0.3">
      <c r="A164" t="s">
        <v>421</v>
      </c>
      <c r="B164" t="s">
        <v>214</v>
      </c>
      <c r="C164" t="s">
        <v>35</v>
      </c>
      <c r="D164">
        <v>43</v>
      </c>
      <c r="E164" t="s">
        <v>36</v>
      </c>
      <c r="F164" t="s">
        <v>67</v>
      </c>
      <c r="G164" t="s">
        <v>38</v>
      </c>
      <c r="H164" t="s">
        <v>39</v>
      </c>
      <c r="I164" t="s">
        <v>51</v>
      </c>
      <c r="J164" s="1">
        <v>45592</v>
      </c>
      <c r="K164" s="1">
        <v>45597</v>
      </c>
      <c r="L164" t="s">
        <v>52</v>
      </c>
      <c r="M164" s="2">
        <v>100</v>
      </c>
      <c r="N164">
        <v>80</v>
      </c>
      <c r="O164" t="s">
        <v>53</v>
      </c>
      <c r="P164">
        <v>57</v>
      </c>
      <c r="Q164" t="s">
        <v>61</v>
      </c>
      <c r="R164" t="s">
        <v>41</v>
      </c>
      <c r="S164" t="s">
        <v>422</v>
      </c>
      <c r="T164">
        <v>12</v>
      </c>
      <c r="U164" t="str">
        <f>IF(Teacher_Data[[#This Row],[Completion_Status]]="Completed","Yes","No")</f>
        <v>Yes</v>
      </c>
      <c r="V164">
        <f>IF(Teacher_Data[[#This Row],[Completion_Status]]="Completed",1,0)</f>
        <v>1</v>
      </c>
      <c r="W164">
        <f>1</f>
        <v>1</v>
      </c>
      <c r="X164">
        <f>Teacher_Data[[#This Row],[End_Date]]-Teacher_Data[[#This Row],[Start_Date]]</f>
        <v>5</v>
      </c>
      <c r="Y164" t="str">
        <f>_xlfn.IFS(Teacher_Data[[#This Row],[Experience_Years]]&lt;=5,"0-5 Years",Teacher_Data[[#This Row],[Experience_Years]]&lt;=10,"5-10 Years",Teacher_Data[[#This Row],[Experience_Years]]&lt;=20,"11-20 Years",TRUE,"20+ Years")</f>
        <v>11-20 Years</v>
      </c>
    </row>
    <row r="165" spans="1:25" x14ac:dyDescent="0.3">
      <c r="A165" t="s">
        <v>423</v>
      </c>
      <c r="B165" t="s">
        <v>21</v>
      </c>
      <c r="C165" t="s">
        <v>35</v>
      </c>
      <c r="D165">
        <v>22</v>
      </c>
      <c r="E165" t="s">
        <v>23</v>
      </c>
      <c r="F165" t="s">
        <v>37</v>
      </c>
      <c r="G165" t="s">
        <v>45</v>
      </c>
      <c r="H165" t="s">
        <v>26</v>
      </c>
      <c r="I165" t="s">
        <v>51</v>
      </c>
      <c r="J165" s="1">
        <v>45301</v>
      </c>
      <c r="K165" s="1">
        <v>45349</v>
      </c>
      <c r="L165" t="s">
        <v>60</v>
      </c>
      <c r="M165" s="2">
        <v>34</v>
      </c>
      <c r="O165" t="s">
        <v>29</v>
      </c>
      <c r="P165">
        <v>13</v>
      </c>
      <c r="Q165" t="s">
        <v>68</v>
      </c>
      <c r="R165" t="s">
        <v>62</v>
      </c>
      <c r="S165" t="s">
        <v>424</v>
      </c>
      <c r="T165">
        <v>27</v>
      </c>
      <c r="U165" t="str">
        <f>IF(Teacher_Data[[#This Row],[Completion_Status]]="Completed","Yes","No")</f>
        <v>No</v>
      </c>
      <c r="V165">
        <f>IF(Teacher_Data[[#This Row],[Completion_Status]]="Completed",1,0)</f>
        <v>0</v>
      </c>
      <c r="W165">
        <f>1</f>
        <v>1</v>
      </c>
      <c r="X165">
        <f>Teacher_Data[[#This Row],[End_Date]]-Teacher_Data[[#This Row],[Start_Date]]</f>
        <v>48</v>
      </c>
      <c r="Y165" t="str">
        <f>_xlfn.IFS(Teacher_Data[[#This Row],[Experience_Years]]&lt;=5,"0-5 Years",Teacher_Data[[#This Row],[Experience_Years]]&lt;=10,"5-10 Years",Teacher_Data[[#This Row],[Experience_Years]]&lt;=20,"11-20 Years",TRUE,"20+ Years")</f>
        <v>20+ Years</v>
      </c>
    </row>
    <row r="166" spans="1:25" x14ac:dyDescent="0.3">
      <c r="A166" t="s">
        <v>425</v>
      </c>
      <c r="B166" t="s">
        <v>124</v>
      </c>
      <c r="C166" t="s">
        <v>22</v>
      </c>
      <c r="D166">
        <v>59</v>
      </c>
      <c r="E166" t="s">
        <v>36</v>
      </c>
      <c r="F166" t="s">
        <v>24</v>
      </c>
      <c r="G166" t="s">
        <v>58</v>
      </c>
      <c r="H166" t="s">
        <v>39</v>
      </c>
      <c r="I166" t="s">
        <v>46</v>
      </c>
      <c r="J166" s="1">
        <v>45321</v>
      </c>
      <c r="K166" s="1">
        <v>45357</v>
      </c>
      <c r="L166" t="s">
        <v>60</v>
      </c>
      <c r="M166" s="2">
        <v>5</v>
      </c>
      <c r="O166" t="s">
        <v>29</v>
      </c>
      <c r="P166">
        <v>35</v>
      </c>
      <c r="Q166" t="s">
        <v>40</v>
      </c>
      <c r="R166" t="s">
        <v>41</v>
      </c>
      <c r="S166" t="s">
        <v>426</v>
      </c>
      <c r="T166">
        <v>30</v>
      </c>
      <c r="U166" t="str">
        <f>IF(Teacher_Data[[#This Row],[Completion_Status]]="Completed","Yes","No")</f>
        <v>No</v>
      </c>
      <c r="V166">
        <f>IF(Teacher_Data[[#This Row],[Completion_Status]]="Completed",1,0)</f>
        <v>0</v>
      </c>
      <c r="W166">
        <f>1</f>
        <v>1</v>
      </c>
      <c r="X166">
        <f>Teacher_Data[[#This Row],[End_Date]]-Teacher_Data[[#This Row],[Start_Date]]</f>
        <v>36</v>
      </c>
      <c r="Y166" t="str">
        <f>_xlfn.IFS(Teacher_Data[[#This Row],[Experience_Years]]&lt;=5,"0-5 Years",Teacher_Data[[#This Row],[Experience_Years]]&lt;=10,"5-10 Years",Teacher_Data[[#This Row],[Experience_Years]]&lt;=20,"11-20 Years",TRUE,"20+ Years")</f>
        <v>20+ Years</v>
      </c>
    </row>
    <row r="167" spans="1:25" x14ac:dyDescent="0.3">
      <c r="A167" t="s">
        <v>427</v>
      </c>
      <c r="B167" t="s">
        <v>229</v>
      </c>
      <c r="C167" t="s">
        <v>35</v>
      </c>
      <c r="D167">
        <v>60</v>
      </c>
      <c r="E167" t="s">
        <v>36</v>
      </c>
      <c r="F167" t="s">
        <v>37</v>
      </c>
      <c r="G167" t="s">
        <v>38</v>
      </c>
      <c r="H167" t="s">
        <v>26</v>
      </c>
      <c r="I167" t="s">
        <v>51</v>
      </c>
      <c r="J167" s="1">
        <v>45395</v>
      </c>
      <c r="K167" s="1">
        <v>45406</v>
      </c>
      <c r="L167" t="s">
        <v>28</v>
      </c>
      <c r="M167" s="2">
        <v>84</v>
      </c>
      <c r="O167" t="s">
        <v>29</v>
      </c>
      <c r="P167">
        <v>34</v>
      </c>
      <c r="Q167" t="s">
        <v>40</v>
      </c>
      <c r="R167" t="s">
        <v>104</v>
      </c>
      <c r="S167" t="s">
        <v>428</v>
      </c>
      <c r="T167">
        <v>27</v>
      </c>
      <c r="U167" t="str">
        <f>IF(Teacher_Data[[#This Row],[Completion_Status]]="Completed","Yes","No")</f>
        <v>No</v>
      </c>
      <c r="V167">
        <f>IF(Teacher_Data[[#This Row],[Completion_Status]]="Completed",1,0)</f>
        <v>0</v>
      </c>
      <c r="W167">
        <f>1</f>
        <v>1</v>
      </c>
      <c r="X167">
        <f>Teacher_Data[[#This Row],[End_Date]]-Teacher_Data[[#This Row],[Start_Date]]</f>
        <v>11</v>
      </c>
      <c r="Y167" t="str">
        <f>_xlfn.IFS(Teacher_Data[[#This Row],[Experience_Years]]&lt;=5,"0-5 Years",Teacher_Data[[#This Row],[Experience_Years]]&lt;=10,"5-10 Years",Teacher_Data[[#This Row],[Experience_Years]]&lt;=20,"11-20 Years",TRUE,"20+ Years")</f>
        <v>20+ Years</v>
      </c>
    </row>
    <row r="168" spans="1:25" x14ac:dyDescent="0.3">
      <c r="A168" t="s">
        <v>429</v>
      </c>
      <c r="B168" t="s">
        <v>185</v>
      </c>
      <c r="C168" t="s">
        <v>22</v>
      </c>
      <c r="D168">
        <v>60</v>
      </c>
      <c r="E168" t="s">
        <v>57</v>
      </c>
      <c r="F168" t="s">
        <v>24</v>
      </c>
      <c r="G168" t="s">
        <v>58</v>
      </c>
      <c r="H168" t="s">
        <v>39</v>
      </c>
      <c r="I168" t="s">
        <v>51</v>
      </c>
      <c r="J168" s="1">
        <v>45546</v>
      </c>
      <c r="K168" s="1">
        <v>45571</v>
      </c>
      <c r="L168" t="s">
        <v>28</v>
      </c>
      <c r="M168" s="2">
        <v>77</v>
      </c>
      <c r="O168" t="s">
        <v>29</v>
      </c>
      <c r="P168">
        <v>10</v>
      </c>
      <c r="Q168" t="s">
        <v>68</v>
      </c>
      <c r="R168" t="s">
        <v>104</v>
      </c>
      <c r="S168" t="s">
        <v>430</v>
      </c>
      <c r="T168">
        <v>22</v>
      </c>
      <c r="U168" t="str">
        <f>IF(Teacher_Data[[#This Row],[Completion_Status]]="Completed","Yes","No")</f>
        <v>No</v>
      </c>
      <c r="V168">
        <f>IF(Teacher_Data[[#This Row],[Completion_Status]]="Completed",1,0)</f>
        <v>0</v>
      </c>
      <c r="W168">
        <f>1</f>
        <v>1</v>
      </c>
      <c r="X168">
        <f>Teacher_Data[[#This Row],[End_Date]]-Teacher_Data[[#This Row],[Start_Date]]</f>
        <v>25</v>
      </c>
      <c r="Y168" t="str">
        <f>_xlfn.IFS(Teacher_Data[[#This Row],[Experience_Years]]&lt;=5,"0-5 Years",Teacher_Data[[#This Row],[Experience_Years]]&lt;=10,"5-10 Years",Teacher_Data[[#This Row],[Experience_Years]]&lt;=20,"11-20 Years",TRUE,"20+ Years")</f>
        <v>20+ Years</v>
      </c>
    </row>
    <row r="169" spans="1:25" x14ac:dyDescent="0.3">
      <c r="A169" t="s">
        <v>431</v>
      </c>
      <c r="B169" t="s">
        <v>118</v>
      </c>
      <c r="C169" t="s">
        <v>22</v>
      </c>
      <c r="D169">
        <v>39</v>
      </c>
      <c r="E169" t="s">
        <v>57</v>
      </c>
      <c r="F169" t="s">
        <v>67</v>
      </c>
      <c r="G169" t="s">
        <v>38</v>
      </c>
      <c r="H169" t="s">
        <v>50</v>
      </c>
      <c r="I169" t="s">
        <v>27</v>
      </c>
      <c r="J169" s="1">
        <v>45536</v>
      </c>
      <c r="K169" s="1">
        <v>45569</v>
      </c>
      <c r="L169" t="s">
        <v>28</v>
      </c>
      <c r="M169" s="2">
        <v>84</v>
      </c>
      <c r="O169" t="s">
        <v>29</v>
      </c>
      <c r="P169">
        <v>60</v>
      </c>
      <c r="Q169" t="s">
        <v>30</v>
      </c>
      <c r="R169" t="s">
        <v>62</v>
      </c>
      <c r="S169" t="s">
        <v>432</v>
      </c>
      <c r="T169">
        <v>29</v>
      </c>
      <c r="U169" t="str">
        <f>IF(Teacher_Data[[#This Row],[Completion_Status]]="Completed","Yes","No")</f>
        <v>No</v>
      </c>
      <c r="V169">
        <f>IF(Teacher_Data[[#This Row],[Completion_Status]]="Completed",1,0)</f>
        <v>0</v>
      </c>
      <c r="W169">
        <f>1</f>
        <v>1</v>
      </c>
      <c r="X169">
        <f>Teacher_Data[[#This Row],[End_Date]]-Teacher_Data[[#This Row],[Start_Date]]</f>
        <v>33</v>
      </c>
      <c r="Y169" t="str">
        <f>_xlfn.IFS(Teacher_Data[[#This Row],[Experience_Years]]&lt;=5,"0-5 Years",Teacher_Data[[#This Row],[Experience_Years]]&lt;=10,"5-10 Years",Teacher_Data[[#This Row],[Experience_Years]]&lt;=20,"11-20 Years",TRUE,"20+ Years")</f>
        <v>20+ Years</v>
      </c>
    </row>
    <row r="170" spans="1:25" x14ac:dyDescent="0.3">
      <c r="A170" t="s">
        <v>433</v>
      </c>
      <c r="B170" t="s">
        <v>115</v>
      </c>
      <c r="C170" t="s">
        <v>22</v>
      </c>
      <c r="D170">
        <v>47</v>
      </c>
      <c r="E170" t="s">
        <v>36</v>
      </c>
      <c r="F170" t="s">
        <v>100</v>
      </c>
      <c r="G170" t="s">
        <v>38</v>
      </c>
      <c r="H170" t="s">
        <v>50</v>
      </c>
      <c r="I170" t="s">
        <v>27</v>
      </c>
      <c r="J170" s="1">
        <v>45443</v>
      </c>
      <c r="K170" s="1">
        <v>45492</v>
      </c>
      <c r="L170" t="s">
        <v>52</v>
      </c>
      <c r="M170" s="2">
        <v>85</v>
      </c>
      <c r="N170">
        <v>85</v>
      </c>
      <c r="O170" t="s">
        <v>53</v>
      </c>
      <c r="P170">
        <v>42</v>
      </c>
      <c r="Q170" t="s">
        <v>68</v>
      </c>
      <c r="R170" t="s">
        <v>31</v>
      </c>
      <c r="S170" t="s">
        <v>434</v>
      </c>
      <c r="T170">
        <v>1</v>
      </c>
      <c r="U170" t="str">
        <f>IF(Teacher_Data[[#This Row],[Completion_Status]]="Completed","Yes","No")</f>
        <v>Yes</v>
      </c>
      <c r="V170">
        <f>IF(Teacher_Data[[#This Row],[Completion_Status]]="Completed",1,0)</f>
        <v>1</v>
      </c>
      <c r="W170">
        <f>1</f>
        <v>1</v>
      </c>
      <c r="X170">
        <f>Teacher_Data[[#This Row],[End_Date]]-Teacher_Data[[#This Row],[Start_Date]]</f>
        <v>49</v>
      </c>
      <c r="Y170" t="str">
        <f>_xlfn.IFS(Teacher_Data[[#This Row],[Experience_Years]]&lt;=5,"0-5 Years",Teacher_Data[[#This Row],[Experience_Years]]&lt;=10,"5-10 Years",Teacher_Data[[#This Row],[Experience_Years]]&lt;=20,"11-20 Years",TRUE,"20+ Years")</f>
        <v>0-5 Years</v>
      </c>
    </row>
    <row r="171" spans="1:25" x14ac:dyDescent="0.3">
      <c r="A171" t="s">
        <v>435</v>
      </c>
      <c r="B171" t="s">
        <v>110</v>
      </c>
      <c r="C171" t="s">
        <v>35</v>
      </c>
      <c r="D171">
        <v>53</v>
      </c>
      <c r="E171" t="s">
        <v>57</v>
      </c>
      <c r="F171" t="s">
        <v>37</v>
      </c>
      <c r="G171" t="s">
        <v>38</v>
      </c>
      <c r="H171" t="s">
        <v>26</v>
      </c>
      <c r="I171" t="s">
        <v>51</v>
      </c>
      <c r="J171" s="1">
        <v>45302</v>
      </c>
      <c r="K171" s="1">
        <v>45323</v>
      </c>
      <c r="L171" t="s">
        <v>60</v>
      </c>
      <c r="M171" s="2">
        <v>30</v>
      </c>
      <c r="O171" t="s">
        <v>29</v>
      </c>
      <c r="P171">
        <v>55</v>
      </c>
      <c r="Q171" t="s">
        <v>30</v>
      </c>
      <c r="R171" t="s">
        <v>41</v>
      </c>
      <c r="S171" t="s">
        <v>436</v>
      </c>
      <c r="T171">
        <v>21</v>
      </c>
      <c r="U171" t="str">
        <f>IF(Teacher_Data[[#This Row],[Completion_Status]]="Completed","Yes","No")</f>
        <v>No</v>
      </c>
      <c r="V171">
        <f>IF(Teacher_Data[[#This Row],[Completion_Status]]="Completed",1,0)</f>
        <v>0</v>
      </c>
      <c r="W171">
        <f>1</f>
        <v>1</v>
      </c>
      <c r="X171">
        <f>Teacher_Data[[#This Row],[End_Date]]-Teacher_Data[[#This Row],[Start_Date]]</f>
        <v>21</v>
      </c>
      <c r="Y171" t="str">
        <f>_xlfn.IFS(Teacher_Data[[#This Row],[Experience_Years]]&lt;=5,"0-5 Years",Teacher_Data[[#This Row],[Experience_Years]]&lt;=10,"5-10 Years",Teacher_Data[[#This Row],[Experience_Years]]&lt;=20,"11-20 Years",TRUE,"20+ Years")</f>
        <v>20+ Years</v>
      </c>
    </row>
    <row r="172" spans="1:25" x14ac:dyDescent="0.3">
      <c r="A172" t="s">
        <v>437</v>
      </c>
      <c r="B172" t="s">
        <v>75</v>
      </c>
      <c r="C172" t="s">
        <v>22</v>
      </c>
      <c r="D172">
        <v>34</v>
      </c>
      <c r="E172" t="s">
        <v>66</v>
      </c>
      <c r="F172" t="s">
        <v>37</v>
      </c>
      <c r="G172" t="s">
        <v>45</v>
      </c>
      <c r="H172" t="s">
        <v>59</v>
      </c>
      <c r="I172" t="s">
        <v>51</v>
      </c>
      <c r="J172" s="1">
        <v>45457</v>
      </c>
      <c r="K172" s="1">
        <v>45473</v>
      </c>
      <c r="L172" t="s">
        <v>60</v>
      </c>
      <c r="M172" s="2">
        <v>34</v>
      </c>
      <c r="O172" t="s">
        <v>29</v>
      </c>
      <c r="P172">
        <v>31</v>
      </c>
      <c r="Q172" t="s">
        <v>68</v>
      </c>
      <c r="R172" t="s">
        <v>41</v>
      </c>
      <c r="S172" t="s">
        <v>438</v>
      </c>
      <c r="T172">
        <v>30</v>
      </c>
      <c r="U172" t="str">
        <f>IF(Teacher_Data[[#This Row],[Completion_Status]]="Completed","Yes","No")</f>
        <v>No</v>
      </c>
      <c r="V172">
        <f>IF(Teacher_Data[[#This Row],[Completion_Status]]="Completed",1,0)</f>
        <v>0</v>
      </c>
      <c r="W172">
        <f>1</f>
        <v>1</v>
      </c>
      <c r="X172">
        <f>Teacher_Data[[#This Row],[End_Date]]-Teacher_Data[[#This Row],[Start_Date]]</f>
        <v>16</v>
      </c>
      <c r="Y172" t="str">
        <f>_xlfn.IFS(Teacher_Data[[#This Row],[Experience_Years]]&lt;=5,"0-5 Years",Teacher_Data[[#This Row],[Experience_Years]]&lt;=10,"5-10 Years",Teacher_Data[[#This Row],[Experience_Years]]&lt;=20,"11-20 Years",TRUE,"20+ Years")</f>
        <v>20+ Years</v>
      </c>
    </row>
    <row r="173" spans="1:25" x14ac:dyDescent="0.3">
      <c r="A173" t="s">
        <v>439</v>
      </c>
      <c r="B173" t="s">
        <v>118</v>
      </c>
      <c r="C173" t="s">
        <v>22</v>
      </c>
      <c r="D173">
        <v>39</v>
      </c>
      <c r="E173" t="s">
        <v>57</v>
      </c>
      <c r="F173" t="s">
        <v>37</v>
      </c>
      <c r="G173" t="s">
        <v>76</v>
      </c>
      <c r="H173" t="s">
        <v>59</v>
      </c>
      <c r="I173" t="s">
        <v>51</v>
      </c>
      <c r="J173" s="1">
        <v>45506</v>
      </c>
      <c r="K173" s="1">
        <v>45556</v>
      </c>
      <c r="L173" t="s">
        <v>52</v>
      </c>
      <c r="M173" s="2">
        <v>100</v>
      </c>
      <c r="N173">
        <v>92</v>
      </c>
      <c r="O173" t="s">
        <v>53</v>
      </c>
      <c r="P173">
        <v>11</v>
      </c>
      <c r="Q173" t="s">
        <v>30</v>
      </c>
      <c r="R173" t="s">
        <v>72</v>
      </c>
      <c r="S173" t="s">
        <v>440</v>
      </c>
      <c r="T173">
        <v>30</v>
      </c>
      <c r="U173" t="str">
        <f>IF(Teacher_Data[[#This Row],[Completion_Status]]="Completed","Yes","No")</f>
        <v>Yes</v>
      </c>
      <c r="V173">
        <f>IF(Teacher_Data[[#This Row],[Completion_Status]]="Completed",1,0)</f>
        <v>1</v>
      </c>
      <c r="W173">
        <f>1</f>
        <v>1</v>
      </c>
      <c r="X173">
        <f>Teacher_Data[[#This Row],[End_Date]]-Teacher_Data[[#This Row],[Start_Date]]</f>
        <v>50</v>
      </c>
      <c r="Y173" t="str">
        <f>_xlfn.IFS(Teacher_Data[[#This Row],[Experience_Years]]&lt;=5,"0-5 Years",Teacher_Data[[#This Row],[Experience_Years]]&lt;=10,"5-10 Years",Teacher_Data[[#This Row],[Experience_Years]]&lt;=20,"11-20 Years",TRUE,"20+ Years")</f>
        <v>20+ Years</v>
      </c>
    </row>
    <row r="174" spans="1:25" x14ac:dyDescent="0.3">
      <c r="A174" t="s">
        <v>441</v>
      </c>
      <c r="B174" t="s">
        <v>89</v>
      </c>
      <c r="C174" t="s">
        <v>22</v>
      </c>
      <c r="D174">
        <v>47</v>
      </c>
      <c r="E174" t="s">
        <v>23</v>
      </c>
      <c r="F174" t="s">
        <v>24</v>
      </c>
      <c r="G174" t="s">
        <v>45</v>
      </c>
      <c r="H174" t="s">
        <v>50</v>
      </c>
      <c r="I174" t="s">
        <v>51</v>
      </c>
      <c r="J174" s="1">
        <v>45342</v>
      </c>
      <c r="K174" s="1">
        <v>45378</v>
      </c>
      <c r="L174" t="s">
        <v>52</v>
      </c>
      <c r="M174" s="2">
        <v>40</v>
      </c>
      <c r="N174">
        <v>61</v>
      </c>
      <c r="O174" t="s">
        <v>53</v>
      </c>
      <c r="P174">
        <v>60</v>
      </c>
      <c r="Q174" t="s">
        <v>30</v>
      </c>
      <c r="R174" t="s">
        <v>104</v>
      </c>
      <c r="S174" t="s">
        <v>442</v>
      </c>
      <c r="T174">
        <v>20</v>
      </c>
      <c r="U174" t="str">
        <f>IF(Teacher_Data[[#This Row],[Completion_Status]]="Completed","Yes","No")</f>
        <v>Yes</v>
      </c>
      <c r="V174">
        <f>IF(Teacher_Data[[#This Row],[Completion_Status]]="Completed",1,0)</f>
        <v>1</v>
      </c>
      <c r="W174">
        <f>1</f>
        <v>1</v>
      </c>
      <c r="X174">
        <f>Teacher_Data[[#This Row],[End_Date]]-Teacher_Data[[#This Row],[Start_Date]]</f>
        <v>36</v>
      </c>
      <c r="Y174" t="str">
        <f>_xlfn.IFS(Teacher_Data[[#This Row],[Experience_Years]]&lt;=5,"0-5 Years",Teacher_Data[[#This Row],[Experience_Years]]&lt;=10,"5-10 Years",Teacher_Data[[#This Row],[Experience_Years]]&lt;=20,"11-20 Years",TRUE,"20+ Years")</f>
        <v>11-20 Years</v>
      </c>
    </row>
    <row r="175" spans="1:25" x14ac:dyDescent="0.3">
      <c r="A175" t="s">
        <v>443</v>
      </c>
      <c r="B175" t="s">
        <v>49</v>
      </c>
      <c r="C175" t="s">
        <v>35</v>
      </c>
      <c r="D175">
        <v>58</v>
      </c>
      <c r="E175" t="s">
        <v>23</v>
      </c>
      <c r="F175" t="s">
        <v>83</v>
      </c>
      <c r="G175" t="s">
        <v>45</v>
      </c>
      <c r="H175" t="s">
        <v>39</v>
      </c>
      <c r="I175" t="s">
        <v>27</v>
      </c>
      <c r="J175" s="1">
        <v>45444</v>
      </c>
      <c r="K175" s="1">
        <v>45471</v>
      </c>
      <c r="L175" t="s">
        <v>52</v>
      </c>
      <c r="M175" s="2">
        <v>65</v>
      </c>
      <c r="N175">
        <v>50</v>
      </c>
      <c r="O175" t="s">
        <v>53</v>
      </c>
      <c r="P175">
        <v>18</v>
      </c>
      <c r="Q175" t="s">
        <v>68</v>
      </c>
      <c r="R175" t="s">
        <v>31</v>
      </c>
      <c r="S175" t="s">
        <v>444</v>
      </c>
      <c r="T175">
        <v>17</v>
      </c>
      <c r="U175" t="str">
        <f>IF(Teacher_Data[[#This Row],[Completion_Status]]="Completed","Yes","No")</f>
        <v>Yes</v>
      </c>
      <c r="V175">
        <f>IF(Teacher_Data[[#This Row],[Completion_Status]]="Completed",1,0)</f>
        <v>1</v>
      </c>
      <c r="W175">
        <f>1</f>
        <v>1</v>
      </c>
      <c r="X175">
        <f>Teacher_Data[[#This Row],[End_Date]]-Teacher_Data[[#This Row],[Start_Date]]</f>
        <v>27</v>
      </c>
      <c r="Y175" t="str">
        <f>_xlfn.IFS(Teacher_Data[[#This Row],[Experience_Years]]&lt;=5,"0-5 Years",Teacher_Data[[#This Row],[Experience_Years]]&lt;=10,"5-10 Years",Teacher_Data[[#This Row],[Experience_Years]]&lt;=20,"11-20 Years",TRUE,"20+ Years")</f>
        <v>11-20 Years</v>
      </c>
    </row>
    <row r="176" spans="1:25" x14ac:dyDescent="0.3">
      <c r="A176" t="s">
        <v>445</v>
      </c>
      <c r="B176" t="s">
        <v>167</v>
      </c>
      <c r="C176" t="s">
        <v>35</v>
      </c>
      <c r="D176">
        <v>25</v>
      </c>
      <c r="E176" t="s">
        <v>57</v>
      </c>
      <c r="F176" t="s">
        <v>83</v>
      </c>
      <c r="G176" t="s">
        <v>45</v>
      </c>
      <c r="H176" t="s">
        <v>59</v>
      </c>
      <c r="I176" t="s">
        <v>27</v>
      </c>
      <c r="J176" s="1">
        <v>45495</v>
      </c>
      <c r="K176" s="1">
        <v>45546</v>
      </c>
      <c r="L176" t="s">
        <v>28</v>
      </c>
      <c r="M176" s="2">
        <v>69</v>
      </c>
      <c r="O176" t="s">
        <v>29</v>
      </c>
      <c r="P176">
        <v>33</v>
      </c>
      <c r="Q176" t="s">
        <v>40</v>
      </c>
      <c r="R176" t="s">
        <v>41</v>
      </c>
      <c r="S176" t="s">
        <v>446</v>
      </c>
      <c r="T176">
        <v>24</v>
      </c>
      <c r="U176" t="str">
        <f>IF(Teacher_Data[[#This Row],[Completion_Status]]="Completed","Yes","No")</f>
        <v>No</v>
      </c>
      <c r="V176">
        <f>IF(Teacher_Data[[#This Row],[Completion_Status]]="Completed",1,0)</f>
        <v>0</v>
      </c>
      <c r="W176">
        <f>1</f>
        <v>1</v>
      </c>
      <c r="X176">
        <f>Teacher_Data[[#This Row],[End_Date]]-Teacher_Data[[#This Row],[Start_Date]]</f>
        <v>51</v>
      </c>
      <c r="Y176" t="str">
        <f>_xlfn.IFS(Teacher_Data[[#This Row],[Experience_Years]]&lt;=5,"0-5 Years",Teacher_Data[[#This Row],[Experience_Years]]&lt;=10,"5-10 Years",Teacher_Data[[#This Row],[Experience_Years]]&lt;=20,"11-20 Years",TRUE,"20+ Years")</f>
        <v>20+ Years</v>
      </c>
    </row>
    <row r="177" spans="1:25" x14ac:dyDescent="0.3">
      <c r="A177" t="s">
        <v>447</v>
      </c>
      <c r="B177" t="s">
        <v>94</v>
      </c>
      <c r="C177" t="s">
        <v>22</v>
      </c>
      <c r="D177">
        <v>47</v>
      </c>
      <c r="E177" t="s">
        <v>57</v>
      </c>
      <c r="F177" t="s">
        <v>83</v>
      </c>
      <c r="G177" t="s">
        <v>45</v>
      </c>
      <c r="H177" t="s">
        <v>26</v>
      </c>
      <c r="I177" t="s">
        <v>51</v>
      </c>
      <c r="J177" s="1">
        <v>45395</v>
      </c>
      <c r="K177" s="1">
        <v>45414</v>
      </c>
      <c r="L177" t="s">
        <v>28</v>
      </c>
      <c r="M177" s="2">
        <v>95</v>
      </c>
      <c r="O177" t="s">
        <v>29</v>
      </c>
      <c r="P177">
        <v>36</v>
      </c>
      <c r="Q177" t="s">
        <v>30</v>
      </c>
      <c r="R177" t="s">
        <v>72</v>
      </c>
      <c r="S177" t="s">
        <v>448</v>
      </c>
      <c r="T177">
        <v>15</v>
      </c>
      <c r="U177" t="str">
        <f>IF(Teacher_Data[[#This Row],[Completion_Status]]="Completed","Yes","No")</f>
        <v>No</v>
      </c>
      <c r="V177">
        <f>IF(Teacher_Data[[#This Row],[Completion_Status]]="Completed",1,0)</f>
        <v>0</v>
      </c>
      <c r="W177">
        <f>1</f>
        <v>1</v>
      </c>
      <c r="X177">
        <f>Teacher_Data[[#This Row],[End_Date]]-Teacher_Data[[#This Row],[Start_Date]]</f>
        <v>19</v>
      </c>
      <c r="Y177" t="str">
        <f>_xlfn.IFS(Teacher_Data[[#This Row],[Experience_Years]]&lt;=5,"0-5 Years",Teacher_Data[[#This Row],[Experience_Years]]&lt;=10,"5-10 Years",Teacher_Data[[#This Row],[Experience_Years]]&lt;=20,"11-20 Years",TRUE,"20+ Years")</f>
        <v>11-20 Years</v>
      </c>
    </row>
    <row r="178" spans="1:25" x14ac:dyDescent="0.3">
      <c r="A178" t="s">
        <v>449</v>
      </c>
      <c r="B178" t="s">
        <v>185</v>
      </c>
      <c r="C178" t="s">
        <v>22</v>
      </c>
      <c r="D178">
        <v>36</v>
      </c>
      <c r="E178" t="s">
        <v>23</v>
      </c>
      <c r="F178" t="s">
        <v>67</v>
      </c>
      <c r="G178" t="s">
        <v>45</v>
      </c>
      <c r="H178" t="s">
        <v>39</v>
      </c>
      <c r="I178" t="s">
        <v>51</v>
      </c>
      <c r="J178" s="1">
        <v>45345</v>
      </c>
      <c r="K178" s="1">
        <v>45387</v>
      </c>
      <c r="L178" t="s">
        <v>60</v>
      </c>
      <c r="M178" s="2">
        <v>22</v>
      </c>
      <c r="O178" t="s">
        <v>29</v>
      </c>
      <c r="P178">
        <v>50</v>
      </c>
      <c r="Q178" t="s">
        <v>61</v>
      </c>
      <c r="R178" t="s">
        <v>72</v>
      </c>
      <c r="S178" t="s">
        <v>450</v>
      </c>
      <c r="T178">
        <v>32</v>
      </c>
      <c r="U178" t="str">
        <f>IF(Teacher_Data[[#This Row],[Completion_Status]]="Completed","Yes","No")</f>
        <v>No</v>
      </c>
      <c r="V178">
        <f>IF(Teacher_Data[[#This Row],[Completion_Status]]="Completed",1,0)</f>
        <v>0</v>
      </c>
      <c r="W178">
        <f>1</f>
        <v>1</v>
      </c>
      <c r="X178">
        <f>Teacher_Data[[#This Row],[End_Date]]-Teacher_Data[[#This Row],[Start_Date]]</f>
        <v>42</v>
      </c>
      <c r="Y178" t="str">
        <f>_xlfn.IFS(Teacher_Data[[#This Row],[Experience_Years]]&lt;=5,"0-5 Years",Teacher_Data[[#This Row],[Experience_Years]]&lt;=10,"5-10 Years",Teacher_Data[[#This Row],[Experience_Years]]&lt;=20,"11-20 Years",TRUE,"20+ Years")</f>
        <v>20+ Years</v>
      </c>
    </row>
    <row r="179" spans="1:25" x14ac:dyDescent="0.3">
      <c r="A179" t="s">
        <v>451</v>
      </c>
      <c r="B179" t="s">
        <v>191</v>
      </c>
      <c r="C179" t="s">
        <v>35</v>
      </c>
      <c r="D179">
        <v>46</v>
      </c>
      <c r="E179" t="s">
        <v>23</v>
      </c>
      <c r="F179" t="s">
        <v>67</v>
      </c>
      <c r="G179" t="s">
        <v>25</v>
      </c>
      <c r="H179" t="s">
        <v>26</v>
      </c>
      <c r="I179" t="s">
        <v>46</v>
      </c>
      <c r="J179" s="1">
        <v>45312</v>
      </c>
      <c r="K179" s="1">
        <v>45338</v>
      </c>
      <c r="L179" t="s">
        <v>52</v>
      </c>
      <c r="M179" s="2">
        <v>61</v>
      </c>
      <c r="N179">
        <v>72</v>
      </c>
      <c r="O179" t="s">
        <v>53</v>
      </c>
      <c r="P179">
        <v>43</v>
      </c>
      <c r="Q179" t="s">
        <v>68</v>
      </c>
      <c r="R179" t="s">
        <v>72</v>
      </c>
      <c r="S179" t="s">
        <v>452</v>
      </c>
      <c r="T179">
        <v>25</v>
      </c>
      <c r="U179" t="str">
        <f>IF(Teacher_Data[[#This Row],[Completion_Status]]="Completed","Yes","No")</f>
        <v>Yes</v>
      </c>
      <c r="V179">
        <f>IF(Teacher_Data[[#This Row],[Completion_Status]]="Completed",1,0)</f>
        <v>1</v>
      </c>
      <c r="W179">
        <f>1</f>
        <v>1</v>
      </c>
      <c r="X179">
        <f>Teacher_Data[[#This Row],[End_Date]]-Teacher_Data[[#This Row],[Start_Date]]</f>
        <v>26</v>
      </c>
      <c r="Y179" t="str">
        <f>_xlfn.IFS(Teacher_Data[[#This Row],[Experience_Years]]&lt;=5,"0-5 Years",Teacher_Data[[#This Row],[Experience_Years]]&lt;=10,"5-10 Years",Teacher_Data[[#This Row],[Experience_Years]]&lt;=20,"11-20 Years",TRUE,"20+ Years")</f>
        <v>20+ Years</v>
      </c>
    </row>
    <row r="180" spans="1:25" x14ac:dyDescent="0.3">
      <c r="A180" t="s">
        <v>453</v>
      </c>
      <c r="B180" t="s">
        <v>110</v>
      </c>
      <c r="C180" t="s">
        <v>22</v>
      </c>
      <c r="D180">
        <v>28</v>
      </c>
      <c r="E180" t="s">
        <v>23</v>
      </c>
      <c r="F180" t="s">
        <v>67</v>
      </c>
      <c r="G180" t="s">
        <v>25</v>
      </c>
      <c r="H180" t="s">
        <v>50</v>
      </c>
      <c r="I180" t="s">
        <v>46</v>
      </c>
      <c r="J180" s="1">
        <v>45519</v>
      </c>
      <c r="K180" s="1">
        <v>45574</v>
      </c>
      <c r="L180" t="s">
        <v>60</v>
      </c>
      <c r="M180" s="2">
        <v>28</v>
      </c>
      <c r="O180" t="s">
        <v>29</v>
      </c>
      <c r="P180">
        <v>15</v>
      </c>
      <c r="Q180" t="s">
        <v>30</v>
      </c>
      <c r="R180" t="s">
        <v>31</v>
      </c>
      <c r="S180" t="s">
        <v>454</v>
      </c>
      <c r="T180">
        <v>13</v>
      </c>
      <c r="U180" t="str">
        <f>IF(Teacher_Data[[#This Row],[Completion_Status]]="Completed","Yes","No")</f>
        <v>No</v>
      </c>
      <c r="V180">
        <f>IF(Teacher_Data[[#This Row],[Completion_Status]]="Completed",1,0)</f>
        <v>0</v>
      </c>
      <c r="W180">
        <f>1</f>
        <v>1</v>
      </c>
      <c r="X180">
        <f>Teacher_Data[[#This Row],[End_Date]]-Teacher_Data[[#This Row],[Start_Date]]</f>
        <v>55</v>
      </c>
      <c r="Y180" t="str">
        <f>_xlfn.IFS(Teacher_Data[[#This Row],[Experience_Years]]&lt;=5,"0-5 Years",Teacher_Data[[#This Row],[Experience_Years]]&lt;=10,"5-10 Years",Teacher_Data[[#This Row],[Experience_Years]]&lt;=20,"11-20 Years",TRUE,"20+ Years")</f>
        <v>11-20 Years</v>
      </c>
    </row>
    <row r="181" spans="1:25" x14ac:dyDescent="0.3">
      <c r="A181" t="s">
        <v>455</v>
      </c>
      <c r="B181" t="s">
        <v>179</v>
      </c>
      <c r="C181" t="s">
        <v>22</v>
      </c>
      <c r="D181">
        <v>39</v>
      </c>
      <c r="E181" t="s">
        <v>23</v>
      </c>
      <c r="F181" t="s">
        <v>100</v>
      </c>
      <c r="G181" t="s">
        <v>58</v>
      </c>
      <c r="H181" t="s">
        <v>26</v>
      </c>
      <c r="I181" t="s">
        <v>51</v>
      </c>
      <c r="J181" s="1">
        <v>45540</v>
      </c>
      <c r="K181" s="1">
        <v>45578</v>
      </c>
      <c r="L181" t="s">
        <v>28</v>
      </c>
      <c r="M181" s="2">
        <v>40</v>
      </c>
      <c r="O181" t="s">
        <v>29</v>
      </c>
      <c r="P181">
        <v>6</v>
      </c>
      <c r="Q181" t="s">
        <v>30</v>
      </c>
      <c r="R181" t="s">
        <v>72</v>
      </c>
      <c r="S181" t="s">
        <v>456</v>
      </c>
      <c r="T181">
        <v>35</v>
      </c>
      <c r="U181" t="str">
        <f>IF(Teacher_Data[[#This Row],[Completion_Status]]="Completed","Yes","No")</f>
        <v>No</v>
      </c>
      <c r="V181">
        <f>IF(Teacher_Data[[#This Row],[Completion_Status]]="Completed",1,0)</f>
        <v>0</v>
      </c>
      <c r="W181">
        <f>1</f>
        <v>1</v>
      </c>
      <c r="X181">
        <f>Teacher_Data[[#This Row],[End_Date]]-Teacher_Data[[#This Row],[Start_Date]]</f>
        <v>38</v>
      </c>
      <c r="Y181" t="str">
        <f>_xlfn.IFS(Teacher_Data[[#This Row],[Experience_Years]]&lt;=5,"0-5 Years",Teacher_Data[[#This Row],[Experience_Years]]&lt;=10,"5-10 Years",Teacher_Data[[#This Row],[Experience_Years]]&lt;=20,"11-20 Years",TRUE,"20+ Years")</f>
        <v>20+ Years</v>
      </c>
    </row>
    <row r="182" spans="1:25" x14ac:dyDescent="0.3">
      <c r="A182" t="s">
        <v>457</v>
      </c>
      <c r="B182" t="s">
        <v>110</v>
      </c>
      <c r="C182" t="s">
        <v>22</v>
      </c>
      <c r="D182">
        <v>24</v>
      </c>
      <c r="E182" t="s">
        <v>36</v>
      </c>
      <c r="F182" t="s">
        <v>67</v>
      </c>
      <c r="G182" t="s">
        <v>25</v>
      </c>
      <c r="H182" t="s">
        <v>39</v>
      </c>
      <c r="I182" t="s">
        <v>51</v>
      </c>
      <c r="J182" s="1">
        <v>45448</v>
      </c>
      <c r="K182" s="1">
        <v>45492</v>
      </c>
      <c r="L182" t="s">
        <v>52</v>
      </c>
      <c r="M182" s="2">
        <v>43</v>
      </c>
      <c r="N182">
        <v>91</v>
      </c>
      <c r="O182" t="s">
        <v>53</v>
      </c>
      <c r="P182">
        <v>27</v>
      </c>
      <c r="Q182" t="s">
        <v>68</v>
      </c>
      <c r="R182" t="s">
        <v>31</v>
      </c>
      <c r="S182" t="s">
        <v>458</v>
      </c>
      <c r="T182">
        <v>23</v>
      </c>
      <c r="U182" t="str">
        <f>IF(Teacher_Data[[#This Row],[Completion_Status]]="Completed","Yes","No")</f>
        <v>Yes</v>
      </c>
      <c r="V182">
        <f>IF(Teacher_Data[[#This Row],[Completion_Status]]="Completed",1,0)</f>
        <v>1</v>
      </c>
      <c r="W182">
        <f>1</f>
        <v>1</v>
      </c>
      <c r="X182">
        <f>Teacher_Data[[#This Row],[End_Date]]-Teacher_Data[[#This Row],[Start_Date]]</f>
        <v>44</v>
      </c>
      <c r="Y182" t="str">
        <f>_xlfn.IFS(Teacher_Data[[#This Row],[Experience_Years]]&lt;=5,"0-5 Years",Teacher_Data[[#This Row],[Experience_Years]]&lt;=10,"5-10 Years",Teacher_Data[[#This Row],[Experience_Years]]&lt;=20,"11-20 Years",TRUE,"20+ Years")</f>
        <v>20+ Years</v>
      </c>
    </row>
    <row r="183" spans="1:25" x14ac:dyDescent="0.3">
      <c r="A183" t="s">
        <v>459</v>
      </c>
      <c r="B183" t="s">
        <v>115</v>
      </c>
      <c r="C183" t="s">
        <v>35</v>
      </c>
      <c r="D183">
        <v>45</v>
      </c>
      <c r="E183" t="s">
        <v>57</v>
      </c>
      <c r="F183" t="s">
        <v>24</v>
      </c>
      <c r="G183" t="s">
        <v>38</v>
      </c>
      <c r="H183" t="s">
        <v>39</v>
      </c>
      <c r="I183" t="s">
        <v>27</v>
      </c>
      <c r="J183" s="1">
        <v>45301</v>
      </c>
      <c r="K183" s="1">
        <v>45335</v>
      </c>
      <c r="L183" t="s">
        <v>28</v>
      </c>
      <c r="M183" s="2">
        <v>59</v>
      </c>
      <c r="O183" t="s">
        <v>29</v>
      </c>
      <c r="P183">
        <v>16</v>
      </c>
      <c r="Q183" t="s">
        <v>30</v>
      </c>
      <c r="R183" t="s">
        <v>62</v>
      </c>
      <c r="S183" t="s">
        <v>460</v>
      </c>
      <c r="T183">
        <v>34</v>
      </c>
      <c r="U183" t="str">
        <f>IF(Teacher_Data[[#This Row],[Completion_Status]]="Completed","Yes","No")</f>
        <v>No</v>
      </c>
      <c r="V183">
        <f>IF(Teacher_Data[[#This Row],[Completion_Status]]="Completed",1,0)</f>
        <v>0</v>
      </c>
      <c r="W183">
        <f>1</f>
        <v>1</v>
      </c>
      <c r="X183">
        <f>Teacher_Data[[#This Row],[End_Date]]-Teacher_Data[[#This Row],[Start_Date]]</f>
        <v>34</v>
      </c>
      <c r="Y183" t="str">
        <f>_xlfn.IFS(Teacher_Data[[#This Row],[Experience_Years]]&lt;=5,"0-5 Years",Teacher_Data[[#This Row],[Experience_Years]]&lt;=10,"5-10 Years",Teacher_Data[[#This Row],[Experience_Years]]&lt;=20,"11-20 Years",TRUE,"20+ Years")</f>
        <v>20+ Years</v>
      </c>
    </row>
    <row r="184" spans="1:25" x14ac:dyDescent="0.3">
      <c r="A184" t="s">
        <v>461</v>
      </c>
      <c r="B184" t="s">
        <v>65</v>
      </c>
      <c r="C184" t="s">
        <v>22</v>
      </c>
      <c r="D184">
        <v>59</v>
      </c>
      <c r="E184" t="s">
        <v>23</v>
      </c>
      <c r="F184" t="s">
        <v>37</v>
      </c>
      <c r="G184" t="s">
        <v>25</v>
      </c>
      <c r="H184" t="s">
        <v>26</v>
      </c>
      <c r="I184" t="s">
        <v>27</v>
      </c>
      <c r="J184" s="1">
        <v>45572</v>
      </c>
      <c r="K184" s="1">
        <v>45584</v>
      </c>
      <c r="L184" t="s">
        <v>60</v>
      </c>
      <c r="M184" s="2">
        <v>9</v>
      </c>
      <c r="O184" t="s">
        <v>29</v>
      </c>
      <c r="P184">
        <v>47</v>
      </c>
      <c r="Q184" t="s">
        <v>40</v>
      </c>
      <c r="R184" t="s">
        <v>72</v>
      </c>
      <c r="S184" t="s">
        <v>462</v>
      </c>
      <c r="T184">
        <v>3</v>
      </c>
      <c r="U184" t="str">
        <f>IF(Teacher_Data[[#This Row],[Completion_Status]]="Completed","Yes","No")</f>
        <v>No</v>
      </c>
      <c r="V184">
        <f>IF(Teacher_Data[[#This Row],[Completion_Status]]="Completed",1,0)</f>
        <v>0</v>
      </c>
      <c r="W184">
        <f>1</f>
        <v>1</v>
      </c>
      <c r="X184">
        <f>Teacher_Data[[#This Row],[End_Date]]-Teacher_Data[[#This Row],[Start_Date]]</f>
        <v>12</v>
      </c>
      <c r="Y184" t="str">
        <f>_xlfn.IFS(Teacher_Data[[#This Row],[Experience_Years]]&lt;=5,"0-5 Years",Teacher_Data[[#This Row],[Experience_Years]]&lt;=10,"5-10 Years",Teacher_Data[[#This Row],[Experience_Years]]&lt;=20,"11-20 Years",TRUE,"20+ Years")</f>
        <v>0-5 Years</v>
      </c>
    </row>
    <row r="185" spans="1:25" x14ac:dyDescent="0.3">
      <c r="A185" t="s">
        <v>463</v>
      </c>
      <c r="B185" t="s">
        <v>140</v>
      </c>
      <c r="C185" t="s">
        <v>22</v>
      </c>
      <c r="D185">
        <v>58</v>
      </c>
      <c r="E185" t="s">
        <v>36</v>
      </c>
      <c r="F185" t="s">
        <v>67</v>
      </c>
      <c r="G185" t="s">
        <v>25</v>
      </c>
      <c r="H185" t="s">
        <v>26</v>
      </c>
      <c r="I185" t="s">
        <v>27</v>
      </c>
      <c r="J185" s="1">
        <v>45504</v>
      </c>
      <c r="K185" s="1">
        <v>45518</v>
      </c>
      <c r="L185" t="s">
        <v>28</v>
      </c>
      <c r="M185" s="2">
        <v>56</v>
      </c>
      <c r="O185" t="s">
        <v>29</v>
      </c>
      <c r="P185">
        <v>49</v>
      </c>
      <c r="Q185" t="s">
        <v>40</v>
      </c>
      <c r="R185" t="s">
        <v>62</v>
      </c>
      <c r="S185" t="s">
        <v>464</v>
      </c>
      <c r="T185">
        <v>18</v>
      </c>
      <c r="U185" t="str">
        <f>IF(Teacher_Data[[#This Row],[Completion_Status]]="Completed","Yes","No")</f>
        <v>No</v>
      </c>
      <c r="V185">
        <f>IF(Teacher_Data[[#This Row],[Completion_Status]]="Completed",1,0)</f>
        <v>0</v>
      </c>
      <c r="W185">
        <f>1</f>
        <v>1</v>
      </c>
      <c r="X185">
        <f>Teacher_Data[[#This Row],[End_Date]]-Teacher_Data[[#This Row],[Start_Date]]</f>
        <v>14</v>
      </c>
      <c r="Y185" t="str">
        <f>_xlfn.IFS(Teacher_Data[[#This Row],[Experience_Years]]&lt;=5,"0-5 Years",Teacher_Data[[#This Row],[Experience_Years]]&lt;=10,"5-10 Years",Teacher_Data[[#This Row],[Experience_Years]]&lt;=20,"11-20 Years",TRUE,"20+ Years")</f>
        <v>11-20 Years</v>
      </c>
    </row>
    <row r="186" spans="1:25" x14ac:dyDescent="0.3">
      <c r="A186" t="s">
        <v>465</v>
      </c>
      <c r="B186" t="s">
        <v>110</v>
      </c>
      <c r="C186" t="s">
        <v>22</v>
      </c>
      <c r="D186">
        <v>44</v>
      </c>
      <c r="E186" t="s">
        <v>66</v>
      </c>
      <c r="F186" t="s">
        <v>37</v>
      </c>
      <c r="G186" t="s">
        <v>45</v>
      </c>
      <c r="H186" t="s">
        <v>39</v>
      </c>
      <c r="I186" t="s">
        <v>46</v>
      </c>
      <c r="J186" s="1">
        <v>45372</v>
      </c>
      <c r="K186" s="1">
        <v>45405</v>
      </c>
      <c r="L186" t="s">
        <v>52</v>
      </c>
      <c r="M186" s="2">
        <v>57</v>
      </c>
      <c r="N186">
        <v>85</v>
      </c>
      <c r="O186" t="s">
        <v>53</v>
      </c>
      <c r="P186">
        <v>21</v>
      </c>
      <c r="Q186" t="s">
        <v>61</v>
      </c>
      <c r="R186" t="s">
        <v>62</v>
      </c>
      <c r="S186" t="s">
        <v>466</v>
      </c>
      <c r="T186">
        <v>5</v>
      </c>
      <c r="U186" t="str">
        <f>IF(Teacher_Data[[#This Row],[Completion_Status]]="Completed","Yes","No")</f>
        <v>Yes</v>
      </c>
      <c r="V186">
        <f>IF(Teacher_Data[[#This Row],[Completion_Status]]="Completed",1,0)</f>
        <v>1</v>
      </c>
      <c r="W186">
        <f>1</f>
        <v>1</v>
      </c>
      <c r="X186">
        <f>Teacher_Data[[#This Row],[End_Date]]-Teacher_Data[[#This Row],[Start_Date]]</f>
        <v>33</v>
      </c>
      <c r="Y186" t="str">
        <f>_xlfn.IFS(Teacher_Data[[#This Row],[Experience_Years]]&lt;=5,"0-5 Years",Teacher_Data[[#This Row],[Experience_Years]]&lt;=10,"5-10 Years",Teacher_Data[[#This Row],[Experience_Years]]&lt;=20,"11-20 Years",TRUE,"20+ Years")</f>
        <v>0-5 Years</v>
      </c>
    </row>
    <row r="187" spans="1:25" x14ac:dyDescent="0.3">
      <c r="A187" t="s">
        <v>467</v>
      </c>
      <c r="B187" t="s">
        <v>176</v>
      </c>
      <c r="C187" t="s">
        <v>22</v>
      </c>
      <c r="D187">
        <v>50</v>
      </c>
      <c r="E187" t="s">
        <v>36</v>
      </c>
      <c r="F187" t="s">
        <v>37</v>
      </c>
      <c r="G187" t="s">
        <v>58</v>
      </c>
      <c r="H187" t="s">
        <v>26</v>
      </c>
      <c r="I187" t="s">
        <v>51</v>
      </c>
      <c r="J187" s="1">
        <v>45394</v>
      </c>
      <c r="K187" s="1">
        <v>45419</v>
      </c>
      <c r="L187" t="s">
        <v>52</v>
      </c>
      <c r="M187" s="2">
        <v>64</v>
      </c>
      <c r="N187">
        <v>100</v>
      </c>
      <c r="O187" t="s">
        <v>53</v>
      </c>
      <c r="P187">
        <v>58</v>
      </c>
      <c r="Q187" t="s">
        <v>68</v>
      </c>
      <c r="R187" t="s">
        <v>72</v>
      </c>
      <c r="S187" t="s">
        <v>468</v>
      </c>
      <c r="T187">
        <v>13</v>
      </c>
      <c r="U187" t="str">
        <f>IF(Teacher_Data[[#This Row],[Completion_Status]]="Completed","Yes","No")</f>
        <v>Yes</v>
      </c>
      <c r="V187">
        <f>IF(Teacher_Data[[#This Row],[Completion_Status]]="Completed",1,0)</f>
        <v>1</v>
      </c>
      <c r="W187">
        <f>1</f>
        <v>1</v>
      </c>
      <c r="X187">
        <f>Teacher_Data[[#This Row],[End_Date]]-Teacher_Data[[#This Row],[Start_Date]]</f>
        <v>25</v>
      </c>
      <c r="Y187" t="str">
        <f>_xlfn.IFS(Teacher_Data[[#This Row],[Experience_Years]]&lt;=5,"0-5 Years",Teacher_Data[[#This Row],[Experience_Years]]&lt;=10,"5-10 Years",Teacher_Data[[#This Row],[Experience_Years]]&lt;=20,"11-20 Years",TRUE,"20+ Years")</f>
        <v>11-20 Years</v>
      </c>
    </row>
    <row r="188" spans="1:25" x14ac:dyDescent="0.3">
      <c r="A188" t="s">
        <v>469</v>
      </c>
      <c r="B188" t="s">
        <v>191</v>
      </c>
      <c r="C188" t="s">
        <v>35</v>
      </c>
      <c r="D188">
        <v>59</v>
      </c>
      <c r="E188" t="s">
        <v>23</v>
      </c>
      <c r="F188" t="s">
        <v>83</v>
      </c>
      <c r="G188" t="s">
        <v>45</v>
      </c>
      <c r="H188" t="s">
        <v>50</v>
      </c>
      <c r="I188" t="s">
        <v>51</v>
      </c>
      <c r="J188" s="1">
        <v>45330</v>
      </c>
      <c r="K188" s="1">
        <v>45336</v>
      </c>
      <c r="L188" t="s">
        <v>52</v>
      </c>
      <c r="M188" s="2">
        <v>69</v>
      </c>
      <c r="N188">
        <v>90</v>
      </c>
      <c r="O188" t="s">
        <v>53</v>
      </c>
      <c r="P188">
        <v>12</v>
      </c>
      <c r="Q188" t="s">
        <v>40</v>
      </c>
      <c r="R188" t="s">
        <v>72</v>
      </c>
      <c r="S188" t="s">
        <v>470</v>
      </c>
      <c r="T188">
        <v>30</v>
      </c>
      <c r="U188" t="str">
        <f>IF(Teacher_Data[[#This Row],[Completion_Status]]="Completed","Yes","No")</f>
        <v>Yes</v>
      </c>
      <c r="V188">
        <f>IF(Teacher_Data[[#This Row],[Completion_Status]]="Completed",1,0)</f>
        <v>1</v>
      </c>
      <c r="W188">
        <f>1</f>
        <v>1</v>
      </c>
      <c r="X188">
        <f>Teacher_Data[[#This Row],[End_Date]]-Teacher_Data[[#This Row],[Start_Date]]</f>
        <v>6</v>
      </c>
      <c r="Y188" t="str">
        <f>_xlfn.IFS(Teacher_Data[[#This Row],[Experience_Years]]&lt;=5,"0-5 Years",Teacher_Data[[#This Row],[Experience_Years]]&lt;=10,"5-10 Years",Teacher_Data[[#This Row],[Experience_Years]]&lt;=20,"11-20 Years",TRUE,"20+ Years")</f>
        <v>20+ Years</v>
      </c>
    </row>
    <row r="189" spans="1:25" x14ac:dyDescent="0.3">
      <c r="A189" t="s">
        <v>471</v>
      </c>
      <c r="B189" t="s">
        <v>281</v>
      </c>
      <c r="C189" t="s">
        <v>22</v>
      </c>
      <c r="D189">
        <v>37</v>
      </c>
      <c r="E189" t="s">
        <v>23</v>
      </c>
      <c r="F189" t="s">
        <v>83</v>
      </c>
      <c r="G189" t="s">
        <v>45</v>
      </c>
      <c r="H189" t="s">
        <v>39</v>
      </c>
      <c r="I189" t="s">
        <v>46</v>
      </c>
      <c r="J189" s="1">
        <v>45573</v>
      </c>
      <c r="K189" s="1">
        <v>45598</v>
      </c>
      <c r="L189" t="s">
        <v>52</v>
      </c>
      <c r="M189" s="2">
        <v>74</v>
      </c>
      <c r="N189">
        <v>75</v>
      </c>
      <c r="O189" t="s">
        <v>53</v>
      </c>
      <c r="P189">
        <v>54</v>
      </c>
      <c r="Q189" t="s">
        <v>61</v>
      </c>
      <c r="R189" t="s">
        <v>104</v>
      </c>
      <c r="S189" t="s">
        <v>472</v>
      </c>
      <c r="T189">
        <v>34</v>
      </c>
      <c r="U189" t="str">
        <f>IF(Teacher_Data[[#This Row],[Completion_Status]]="Completed","Yes","No")</f>
        <v>Yes</v>
      </c>
      <c r="V189">
        <f>IF(Teacher_Data[[#This Row],[Completion_Status]]="Completed",1,0)</f>
        <v>1</v>
      </c>
      <c r="W189">
        <f>1</f>
        <v>1</v>
      </c>
      <c r="X189">
        <f>Teacher_Data[[#This Row],[End_Date]]-Teacher_Data[[#This Row],[Start_Date]]</f>
        <v>25</v>
      </c>
      <c r="Y189" t="str">
        <f>_xlfn.IFS(Teacher_Data[[#This Row],[Experience_Years]]&lt;=5,"0-5 Years",Teacher_Data[[#This Row],[Experience_Years]]&lt;=10,"5-10 Years",Teacher_Data[[#This Row],[Experience_Years]]&lt;=20,"11-20 Years",TRUE,"20+ Years")</f>
        <v>20+ Years</v>
      </c>
    </row>
    <row r="190" spans="1:25" x14ac:dyDescent="0.3">
      <c r="A190" t="s">
        <v>473</v>
      </c>
      <c r="B190" t="s">
        <v>89</v>
      </c>
      <c r="C190" t="s">
        <v>35</v>
      </c>
      <c r="D190">
        <v>28</v>
      </c>
      <c r="E190" t="s">
        <v>36</v>
      </c>
      <c r="F190" t="s">
        <v>83</v>
      </c>
      <c r="G190" t="s">
        <v>25</v>
      </c>
      <c r="H190" t="s">
        <v>50</v>
      </c>
      <c r="I190" t="s">
        <v>51</v>
      </c>
      <c r="J190" s="1">
        <v>45425</v>
      </c>
      <c r="K190" s="1">
        <v>45477</v>
      </c>
      <c r="L190" t="s">
        <v>28</v>
      </c>
      <c r="M190" s="2">
        <v>57</v>
      </c>
      <c r="O190" t="s">
        <v>29</v>
      </c>
      <c r="P190">
        <v>8</v>
      </c>
      <c r="Q190" t="s">
        <v>68</v>
      </c>
      <c r="R190" t="s">
        <v>72</v>
      </c>
      <c r="S190" t="s">
        <v>474</v>
      </c>
      <c r="T190">
        <v>27</v>
      </c>
      <c r="U190" t="str">
        <f>IF(Teacher_Data[[#This Row],[Completion_Status]]="Completed","Yes","No")</f>
        <v>No</v>
      </c>
      <c r="V190">
        <f>IF(Teacher_Data[[#This Row],[Completion_Status]]="Completed",1,0)</f>
        <v>0</v>
      </c>
      <c r="W190">
        <f>1</f>
        <v>1</v>
      </c>
      <c r="X190">
        <f>Teacher_Data[[#This Row],[End_Date]]-Teacher_Data[[#This Row],[Start_Date]]</f>
        <v>52</v>
      </c>
      <c r="Y190" t="str">
        <f>_xlfn.IFS(Teacher_Data[[#This Row],[Experience_Years]]&lt;=5,"0-5 Years",Teacher_Data[[#This Row],[Experience_Years]]&lt;=10,"5-10 Years",Teacher_Data[[#This Row],[Experience_Years]]&lt;=20,"11-20 Years",TRUE,"20+ Years")</f>
        <v>20+ Years</v>
      </c>
    </row>
    <row r="191" spans="1:25" x14ac:dyDescent="0.3">
      <c r="A191" t="s">
        <v>475</v>
      </c>
      <c r="B191" t="s">
        <v>71</v>
      </c>
      <c r="C191" t="s">
        <v>22</v>
      </c>
      <c r="D191">
        <v>31</v>
      </c>
      <c r="E191" t="s">
        <v>66</v>
      </c>
      <c r="F191" t="s">
        <v>83</v>
      </c>
      <c r="G191" t="s">
        <v>76</v>
      </c>
      <c r="H191" t="s">
        <v>50</v>
      </c>
      <c r="I191" t="s">
        <v>27</v>
      </c>
      <c r="J191" s="1">
        <v>45557</v>
      </c>
      <c r="K191" s="1">
        <v>45610</v>
      </c>
      <c r="L191" t="s">
        <v>52</v>
      </c>
      <c r="M191" s="2">
        <v>73</v>
      </c>
      <c r="N191">
        <v>70</v>
      </c>
      <c r="O191" t="s">
        <v>53</v>
      </c>
      <c r="P191">
        <v>36</v>
      </c>
      <c r="Q191" t="s">
        <v>40</v>
      </c>
      <c r="R191" t="s">
        <v>104</v>
      </c>
      <c r="S191" t="s">
        <v>476</v>
      </c>
      <c r="T191">
        <v>7</v>
      </c>
      <c r="U191" t="str">
        <f>IF(Teacher_Data[[#This Row],[Completion_Status]]="Completed","Yes","No")</f>
        <v>Yes</v>
      </c>
      <c r="V191">
        <f>IF(Teacher_Data[[#This Row],[Completion_Status]]="Completed",1,0)</f>
        <v>1</v>
      </c>
      <c r="W191">
        <f>1</f>
        <v>1</v>
      </c>
      <c r="X191">
        <f>Teacher_Data[[#This Row],[End_Date]]-Teacher_Data[[#This Row],[Start_Date]]</f>
        <v>53</v>
      </c>
      <c r="Y191" t="str">
        <f>_xlfn.IFS(Teacher_Data[[#This Row],[Experience_Years]]&lt;=5,"0-5 Years",Teacher_Data[[#This Row],[Experience_Years]]&lt;=10,"5-10 Years",Teacher_Data[[#This Row],[Experience_Years]]&lt;=20,"11-20 Years",TRUE,"20+ Years")</f>
        <v>5-10 Years</v>
      </c>
    </row>
    <row r="192" spans="1:25" x14ac:dyDescent="0.3">
      <c r="A192" t="s">
        <v>477</v>
      </c>
      <c r="B192" t="s">
        <v>167</v>
      </c>
      <c r="C192" t="s">
        <v>35</v>
      </c>
      <c r="D192">
        <v>32</v>
      </c>
      <c r="E192" t="s">
        <v>57</v>
      </c>
      <c r="F192" t="s">
        <v>24</v>
      </c>
      <c r="G192" t="s">
        <v>38</v>
      </c>
      <c r="H192" t="s">
        <v>50</v>
      </c>
      <c r="I192" t="s">
        <v>27</v>
      </c>
      <c r="J192" s="1">
        <v>45497</v>
      </c>
      <c r="K192" s="1">
        <v>45537</v>
      </c>
      <c r="L192" t="s">
        <v>52</v>
      </c>
      <c r="M192" s="2">
        <v>47</v>
      </c>
      <c r="N192">
        <v>74</v>
      </c>
      <c r="O192" t="s">
        <v>53</v>
      </c>
      <c r="P192">
        <v>53</v>
      </c>
      <c r="Q192" t="s">
        <v>30</v>
      </c>
      <c r="R192" t="s">
        <v>31</v>
      </c>
      <c r="S192" t="s">
        <v>478</v>
      </c>
      <c r="T192">
        <v>27</v>
      </c>
      <c r="U192" t="str">
        <f>IF(Teacher_Data[[#This Row],[Completion_Status]]="Completed","Yes","No")</f>
        <v>Yes</v>
      </c>
      <c r="V192">
        <f>IF(Teacher_Data[[#This Row],[Completion_Status]]="Completed",1,0)</f>
        <v>1</v>
      </c>
      <c r="W192">
        <f>1</f>
        <v>1</v>
      </c>
      <c r="X192">
        <f>Teacher_Data[[#This Row],[End_Date]]-Teacher_Data[[#This Row],[Start_Date]]</f>
        <v>40</v>
      </c>
      <c r="Y192" t="str">
        <f>_xlfn.IFS(Teacher_Data[[#This Row],[Experience_Years]]&lt;=5,"0-5 Years",Teacher_Data[[#This Row],[Experience_Years]]&lt;=10,"5-10 Years",Teacher_Data[[#This Row],[Experience_Years]]&lt;=20,"11-20 Years",TRUE,"20+ Years")</f>
        <v>20+ Years</v>
      </c>
    </row>
    <row r="193" spans="1:25" x14ac:dyDescent="0.3">
      <c r="A193" t="s">
        <v>479</v>
      </c>
      <c r="B193" t="s">
        <v>82</v>
      </c>
      <c r="C193" t="s">
        <v>35</v>
      </c>
      <c r="D193">
        <v>58</v>
      </c>
      <c r="E193" t="s">
        <v>23</v>
      </c>
      <c r="F193" t="s">
        <v>37</v>
      </c>
      <c r="G193" t="s">
        <v>58</v>
      </c>
      <c r="H193" t="s">
        <v>50</v>
      </c>
      <c r="I193" t="s">
        <v>46</v>
      </c>
      <c r="J193" s="1">
        <v>45447</v>
      </c>
      <c r="K193" s="1">
        <v>45478</v>
      </c>
      <c r="L193" t="s">
        <v>28</v>
      </c>
      <c r="M193" s="2">
        <v>68</v>
      </c>
      <c r="O193" t="s">
        <v>29</v>
      </c>
      <c r="P193">
        <v>18</v>
      </c>
      <c r="Q193" t="s">
        <v>30</v>
      </c>
      <c r="R193" t="s">
        <v>41</v>
      </c>
      <c r="S193" t="s">
        <v>480</v>
      </c>
      <c r="T193">
        <v>35</v>
      </c>
      <c r="U193" t="str">
        <f>IF(Teacher_Data[[#This Row],[Completion_Status]]="Completed","Yes","No")</f>
        <v>No</v>
      </c>
      <c r="V193">
        <f>IF(Teacher_Data[[#This Row],[Completion_Status]]="Completed",1,0)</f>
        <v>0</v>
      </c>
      <c r="W193">
        <f>1</f>
        <v>1</v>
      </c>
      <c r="X193">
        <f>Teacher_Data[[#This Row],[End_Date]]-Teacher_Data[[#This Row],[Start_Date]]</f>
        <v>31</v>
      </c>
      <c r="Y193" t="str">
        <f>_xlfn.IFS(Teacher_Data[[#This Row],[Experience_Years]]&lt;=5,"0-5 Years",Teacher_Data[[#This Row],[Experience_Years]]&lt;=10,"5-10 Years",Teacher_Data[[#This Row],[Experience_Years]]&lt;=20,"11-20 Years",TRUE,"20+ Years")</f>
        <v>20+ Years</v>
      </c>
    </row>
    <row r="194" spans="1:25" x14ac:dyDescent="0.3">
      <c r="A194" t="s">
        <v>481</v>
      </c>
      <c r="B194" t="s">
        <v>110</v>
      </c>
      <c r="C194" t="s">
        <v>22</v>
      </c>
      <c r="D194">
        <v>40</v>
      </c>
      <c r="E194" t="s">
        <v>36</v>
      </c>
      <c r="F194" t="s">
        <v>67</v>
      </c>
      <c r="G194" t="s">
        <v>58</v>
      </c>
      <c r="H194" t="s">
        <v>26</v>
      </c>
      <c r="I194" t="s">
        <v>27</v>
      </c>
      <c r="J194" s="1">
        <v>45531</v>
      </c>
      <c r="K194" s="1">
        <v>45539</v>
      </c>
      <c r="L194" t="s">
        <v>28</v>
      </c>
      <c r="M194" s="2">
        <v>55</v>
      </c>
      <c r="O194" t="s">
        <v>29</v>
      </c>
      <c r="P194">
        <v>15</v>
      </c>
      <c r="Q194" t="s">
        <v>61</v>
      </c>
      <c r="R194" t="s">
        <v>72</v>
      </c>
      <c r="S194" t="s">
        <v>482</v>
      </c>
      <c r="T194">
        <v>27</v>
      </c>
      <c r="U194" t="str">
        <f>IF(Teacher_Data[[#This Row],[Completion_Status]]="Completed","Yes","No")</f>
        <v>No</v>
      </c>
      <c r="V194">
        <f>IF(Teacher_Data[[#This Row],[Completion_Status]]="Completed",1,0)</f>
        <v>0</v>
      </c>
      <c r="W194">
        <f>1</f>
        <v>1</v>
      </c>
      <c r="X194">
        <f>Teacher_Data[[#This Row],[End_Date]]-Teacher_Data[[#This Row],[Start_Date]]</f>
        <v>8</v>
      </c>
      <c r="Y194" t="str">
        <f>_xlfn.IFS(Teacher_Data[[#This Row],[Experience_Years]]&lt;=5,"0-5 Years",Teacher_Data[[#This Row],[Experience_Years]]&lt;=10,"5-10 Years",Teacher_Data[[#This Row],[Experience_Years]]&lt;=20,"11-20 Years",TRUE,"20+ Years")</f>
        <v>20+ Years</v>
      </c>
    </row>
    <row r="195" spans="1:25" x14ac:dyDescent="0.3">
      <c r="A195" t="s">
        <v>483</v>
      </c>
      <c r="B195" t="s">
        <v>185</v>
      </c>
      <c r="C195" t="s">
        <v>35</v>
      </c>
      <c r="D195">
        <v>28</v>
      </c>
      <c r="E195" t="s">
        <v>36</v>
      </c>
      <c r="F195" t="s">
        <v>24</v>
      </c>
      <c r="G195" t="s">
        <v>58</v>
      </c>
      <c r="H195" t="s">
        <v>26</v>
      </c>
      <c r="I195" t="s">
        <v>27</v>
      </c>
      <c r="J195" s="1">
        <v>45383</v>
      </c>
      <c r="K195" s="1">
        <v>45425</v>
      </c>
      <c r="L195" t="s">
        <v>28</v>
      </c>
      <c r="M195" s="2">
        <v>80</v>
      </c>
      <c r="O195" t="s">
        <v>29</v>
      </c>
      <c r="P195">
        <v>31</v>
      </c>
      <c r="Q195" t="s">
        <v>30</v>
      </c>
      <c r="R195" t="s">
        <v>41</v>
      </c>
      <c r="S195" t="s">
        <v>484</v>
      </c>
      <c r="T195">
        <v>35</v>
      </c>
      <c r="U195" t="str">
        <f>IF(Teacher_Data[[#This Row],[Completion_Status]]="Completed","Yes","No")</f>
        <v>No</v>
      </c>
      <c r="V195">
        <f>IF(Teacher_Data[[#This Row],[Completion_Status]]="Completed",1,0)</f>
        <v>0</v>
      </c>
      <c r="W195">
        <f>1</f>
        <v>1</v>
      </c>
      <c r="X195">
        <f>Teacher_Data[[#This Row],[End_Date]]-Teacher_Data[[#This Row],[Start_Date]]</f>
        <v>42</v>
      </c>
      <c r="Y195" t="str">
        <f>_xlfn.IFS(Teacher_Data[[#This Row],[Experience_Years]]&lt;=5,"0-5 Years",Teacher_Data[[#This Row],[Experience_Years]]&lt;=10,"5-10 Years",Teacher_Data[[#This Row],[Experience_Years]]&lt;=20,"11-20 Years",TRUE,"20+ Years")</f>
        <v>20+ Years</v>
      </c>
    </row>
    <row r="196" spans="1:25" x14ac:dyDescent="0.3">
      <c r="A196" t="s">
        <v>485</v>
      </c>
      <c r="B196" t="s">
        <v>176</v>
      </c>
      <c r="C196" t="s">
        <v>22</v>
      </c>
      <c r="D196">
        <v>32</v>
      </c>
      <c r="E196" t="s">
        <v>57</v>
      </c>
      <c r="F196" t="s">
        <v>83</v>
      </c>
      <c r="G196" t="s">
        <v>58</v>
      </c>
      <c r="H196" t="s">
        <v>26</v>
      </c>
      <c r="I196" t="s">
        <v>51</v>
      </c>
      <c r="J196" s="1">
        <v>45355</v>
      </c>
      <c r="K196" s="1">
        <v>45398</v>
      </c>
      <c r="L196" t="s">
        <v>52</v>
      </c>
      <c r="M196" s="2">
        <v>50</v>
      </c>
      <c r="N196">
        <v>52</v>
      </c>
      <c r="O196" t="s">
        <v>53</v>
      </c>
      <c r="P196">
        <v>7</v>
      </c>
      <c r="Q196" t="s">
        <v>40</v>
      </c>
      <c r="R196" t="s">
        <v>72</v>
      </c>
      <c r="S196" t="s">
        <v>486</v>
      </c>
      <c r="T196">
        <v>27</v>
      </c>
      <c r="U196" t="str">
        <f>IF(Teacher_Data[[#This Row],[Completion_Status]]="Completed","Yes","No")</f>
        <v>Yes</v>
      </c>
      <c r="V196">
        <f>IF(Teacher_Data[[#This Row],[Completion_Status]]="Completed",1,0)</f>
        <v>1</v>
      </c>
      <c r="W196">
        <f>1</f>
        <v>1</v>
      </c>
      <c r="X196">
        <f>Teacher_Data[[#This Row],[End_Date]]-Teacher_Data[[#This Row],[Start_Date]]</f>
        <v>43</v>
      </c>
      <c r="Y196" t="str">
        <f>_xlfn.IFS(Teacher_Data[[#This Row],[Experience_Years]]&lt;=5,"0-5 Years",Teacher_Data[[#This Row],[Experience_Years]]&lt;=10,"5-10 Years",Teacher_Data[[#This Row],[Experience_Years]]&lt;=20,"11-20 Years",TRUE,"20+ Years")</f>
        <v>20+ Years</v>
      </c>
    </row>
    <row r="197" spans="1:25" x14ac:dyDescent="0.3">
      <c r="A197" t="s">
        <v>487</v>
      </c>
      <c r="B197" t="s">
        <v>417</v>
      </c>
      <c r="C197" t="s">
        <v>35</v>
      </c>
      <c r="D197">
        <v>33</v>
      </c>
      <c r="E197" t="s">
        <v>23</v>
      </c>
      <c r="F197" t="s">
        <v>37</v>
      </c>
      <c r="G197" t="s">
        <v>45</v>
      </c>
      <c r="H197" t="s">
        <v>50</v>
      </c>
      <c r="I197" t="s">
        <v>46</v>
      </c>
      <c r="J197" s="1">
        <v>45375</v>
      </c>
      <c r="K197" s="1">
        <v>45383</v>
      </c>
      <c r="L197" t="s">
        <v>52</v>
      </c>
      <c r="M197" s="2">
        <v>97</v>
      </c>
      <c r="N197">
        <v>64</v>
      </c>
      <c r="O197" t="s">
        <v>53</v>
      </c>
      <c r="P197">
        <v>14</v>
      </c>
      <c r="Q197" t="s">
        <v>40</v>
      </c>
      <c r="R197" t="s">
        <v>41</v>
      </c>
      <c r="S197" t="s">
        <v>488</v>
      </c>
      <c r="T197">
        <v>2</v>
      </c>
      <c r="U197" t="str">
        <f>IF(Teacher_Data[[#This Row],[Completion_Status]]="Completed","Yes","No")</f>
        <v>Yes</v>
      </c>
      <c r="V197">
        <f>IF(Teacher_Data[[#This Row],[Completion_Status]]="Completed",1,0)</f>
        <v>1</v>
      </c>
      <c r="W197">
        <f>1</f>
        <v>1</v>
      </c>
      <c r="X197">
        <f>Teacher_Data[[#This Row],[End_Date]]-Teacher_Data[[#This Row],[Start_Date]]</f>
        <v>8</v>
      </c>
      <c r="Y197" t="str">
        <f>_xlfn.IFS(Teacher_Data[[#This Row],[Experience_Years]]&lt;=5,"0-5 Years",Teacher_Data[[#This Row],[Experience_Years]]&lt;=10,"5-10 Years",Teacher_Data[[#This Row],[Experience_Years]]&lt;=20,"11-20 Years",TRUE,"20+ Years")</f>
        <v>0-5 Years</v>
      </c>
    </row>
    <row r="198" spans="1:25" x14ac:dyDescent="0.3">
      <c r="A198" t="s">
        <v>489</v>
      </c>
      <c r="B198" t="s">
        <v>82</v>
      </c>
      <c r="C198" t="s">
        <v>35</v>
      </c>
      <c r="D198">
        <v>53</v>
      </c>
      <c r="E198" t="s">
        <v>23</v>
      </c>
      <c r="F198" t="s">
        <v>37</v>
      </c>
      <c r="G198" t="s">
        <v>58</v>
      </c>
      <c r="H198" t="s">
        <v>26</v>
      </c>
      <c r="I198" t="s">
        <v>46</v>
      </c>
      <c r="J198" s="1">
        <v>45532</v>
      </c>
      <c r="K198" s="1">
        <v>45573</v>
      </c>
      <c r="L198" t="s">
        <v>60</v>
      </c>
      <c r="M198" s="2">
        <v>27</v>
      </c>
      <c r="O198" t="s">
        <v>29</v>
      </c>
      <c r="P198">
        <v>22</v>
      </c>
      <c r="Q198" t="s">
        <v>30</v>
      </c>
      <c r="R198" t="s">
        <v>41</v>
      </c>
      <c r="S198" t="s">
        <v>490</v>
      </c>
      <c r="T198">
        <v>3</v>
      </c>
      <c r="U198" t="str">
        <f>IF(Teacher_Data[[#This Row],[Completion_Status]]="Completed","Yes","No")</f>
        <v>No</v>
      </c>
      <c r="V198">
        <f>IF(Teacher_Data[[#This Row],[Completion_Status]]="Completed",1,0)</f>
        <v>0</v>
      </c>
      <c r="W198">
        <f>1</f>
        <v>1</v>
      </c>
      <c r="X198">
        <f>Teacher_Data[[#This Row],[End_Date]]-Teacher_Data[[#This Row],[Start_Date]]</f>
        <v>41</v>
      </c>
      <c r="Y198" t="str">
        <f>_xlfn.IFS(Teacher_Data[[#This Row],[Experience_Years]]&lt;=5,"0-5 Years",Teacher_Data[[#This Row],[Experience_Years]]&lt;=10,"5-10 Years",Teacher_Data[[#This Row],[Experience_Years]]&lt;=20,"11-20 Years",TRUE,"20+ Years")</f>
        <v>0-5 Years</v>
      </c>
    </row>
    <row r="199" spans="1:25" x14ac:dyDescent="0.3">
      <c r="A199" t="s">
        <v>491</v>
      </c>
      <c r="B199" t="s">
        <v>34</v>
      </c>
      <c r="C199" t="s">
        <v>35</v>
      </c>
      <c r="D199">
        <v>57</v>
      </c>
      <c r="E199" t="s">
        <v>23</v>
      </c>
      <c r="F199" t="s">
        <v>67</v>
      </c>
      <c r="G199" t="s">
        <v>58</v>
      </c>
      <c r="H199" t="s">
        <v>59</v>
      </c>
      <c r="I199" t="s">
        <v>27</v>
      </c>
      <c r="J199" s="1">
        <v>45360</v>
      </c>
      <c r="K199" s="1">
        <v>45410</v>
      </c>
      <c r="L199" t="s">
        <v>52</v>
      </c>
      <c r="M199" s="2">
        <v>81</v>
      </c>
      <c r="N199">
        <v>71</v>
      </c>
      <c r="O199" t="s">
        <v>53</v>
      </c>
      <c r="P199">
        <v>21</v>
      </c>
      <c r="Q199" t="s">
        <v>61</v>
      </c>
      <c r="R199" t="s">
        <v>62</v>
      </c>
      <c r="S199" t="s">
        <v>492</v>
      </c>
      <c r="T199">
        <v>6</v>
      </c>
      <c r="U199" t="str">
        <f>IF(Teacher_Data[[#This Row],[Completion_Status]]="Completed","Yes","No")</f>
        <v>Yes</v>
      </c>
      <c r="V199">
        <f>IF(Teacher_Data[[#This Row],[Completion_Status]]="Completed",1,0)</f>
        <v>1</v>
      </c>
      <c r="W199">
        <f>1</f>
        <v>1</v>
      </c>
      <c r="X199">
        <f>Teacher_Data[[#This Row],[End_Date]]-Teacher_Data[[#This Row],[Start_Date]]</f>
        <v>50</v>
      </c>
      <c r="Y199" t="str">
        <f>_xlfn.IFS(Teacher_Data[[#This Row],[Experience_Years]]&lt;=5,"0-5 Years",Teacher_Data[[#This Row],[Experience_Years]]&lt;=10,"5-10 Years",Teacher_Data[[#This Row],[Experience_Years]]&lt;=20,"11-20 Years",TRUE,"20+ Years")</f>
        <v>5-10 Years</v>
      </c>
    </row>
    <row r="200" spans="1:25" x14ac:dyDescent="0.3">
      <c r="A200" t="s">
        <v>493</v>
      </c>
      <c r="B200" t="s">
        <v>197</v>
      </c>
      <c r="C200" t="s">
        <v>22</v>
      </c>
      <c r="D200">
        <v>26</v>
      </c>
      <c r="E200" t="s">
        <v>36</v>
      </c>
      <c r="F200" t="s">
        <v>24</v>
      </c>
      <c r="G200" t="s">
        <v>45</v>
      </c>
      <c r="H200" t="s">
        <v>26</v>
      </c>
      <c r="I200" t="s">
        <v>27</v>
      </c>
      <c r="J200" s="1">
        <v>45430</v>
      </c>
      <c r="K200" s="1">
        <v>45439</v>
      </c>
      <c r="L200" t="s">
        <v>52</v>
      </c>
      <c r="M200" s="2">
        <v>54</v>
      </c>
      <c r="N200">
        <v>89</v>
      </c>
      <c r="O200" t="s">
        <v>53</v>
      </c>
      <c r="P200">
        <v>36</v>
      </c>
      <c r="Q200" t="s">
        <v>40</v>
      </c>
      <c r="R200" t="s">
        <v>62</v>
      </c>
      <c r="S200" t="s">
        <v>494</v>
      </c>
      <c r="T200">
        <v>15</v>
      </c>
      <c r="U200" t="str">
        <f>IF(Teacher_Data[[#This Row],[Completion_Status]]="Completed","Yes","No")</f>
        <v>Yes</v>
      </c>
      <c r="V200">
        <f>IF(Teacher_Data[[#This Row],[Completion_Status]]="Completed",1,0)</f>
        <v>1</v>
      </c>
      <c r="W200">
        <f>1</f>
        <v>1</v>
      </c>
      <c r="X200">
        <f>Teacher_Data[[#This Row],[End_Date]]-Teacher_Data[[#This Row],[Start_Date]]</f>
        <v>9</v>
      </c>
      <c r="Y200" t="str">
        <f>_xlfn.IFS(Teacher_Data[[#This Row],[Experience_Years]]&lt;=5,"0-5 Years",Teacher_Data[[#This Row],[Experience_Years]]&lt;=10,"5-10 Years",Teacher_Data[[#This Row],[Experience_Years]]&lt;=20,"11-20 Years",TRUE,"20+ Years")</f>
        <v>11-20 Years</v>
      </c>
    </row>
    <row r="201" spans="1:25" x14ac:dyDescent="0.3">
      <c r="A201" t="s">
        <v>495</v>
      </c>
      <c r="B201" t="s">
        <v>133</v>
      </c>
      <c r="C201" t="s">
        <v>35</v>
      </c>
      <c r="D201">
        <v>59</v>
      </c>
      <c r="E201" t="s">
        <v>23</v>
      </c>
      <c r="F201" t="s">
        <v>37</v>
      </c>
      <c r="G201" t="s">
        <v>45</v>
      </c>
      <c r="H201" t="s">
        <v>59</v>
      </c>
      <c r="I201" t="s">
        <v>27</v>
      </c>
      <c r="J201" s="1">
        <v>45294</v>
      </c>
      <c r="K201" s="1">
        <v>45312</v>
      </c>
      <c r="L201" t="s">
        <v>52</v>
      </c>
      <c r="M201" s="2">
        <v>40</v>
      </c>
      <c r="N201">
        <v>79</v>
      </c>
      <c r="O201" t="s">
        <v>53</v>
      </c>
      <c r="P201">
        <v>60</v>
      </c>
      <c r="Q201" t="s">
        <v>68</v>
      </c>
      <c r="R201" t="s">
        <v>41</v>
      </c>
      <c r="S201" t="s">
        <v>496</v>
      </c>
      <c r="T201">
        <v>25</v>
      </c>
      <c r="U201" t="str">
        <f>IF(Teacher_Data[[#This Row],[Completion_Status]]="Completed","Yes","No")</f>
        <v>Yes</v>
      </c>
      <c r="V201">
        <f>IF(Teacher_Data[[#This Row],[Completion_Status]]="Completed",1,0)</f>
        <v>1</v>
      </c>
      <c r="W201">
        <f>1</f>
        <v>1</v>
      </c>
      <c r="X201">
        <f>Teacher_Data[[#This Row],[End_Date]]-Teacher_Data[[#This Row],[Start_Date]]</f>
        <v>18</v>
      </c>
      <c r="Y201" t="str">
        <f>_xlfn.IFS(Teacher_Data[[#This Row],[Experience_Years]]&lt;=5,"0-5 Years",Teacher_Data[[#This Row],[Experience_Years]]&lt;=10,"5-10 Years",Teacher_Data[[#This Row],[Experience_Years]]&lt;=20,"11-20 Years",TRUE,"20+ Years")</f>
        <v>20+ Years</v>
      </c>
    </row>
    <row r="202" spans="1:25" x14ac:dyDescent="0.3">
      <c r="A202" t="s">
        <v>497</v>
      </c>
      <c r="B202" t="s">
        <v>115</v>
      </c>
      <c r="C202" t="s">
        <v>22</v>
      </c>
      <c r="D202">
        <v>47</v>
      </c>
      <c r="E202" t="s">
        <v>57</v>
      </c>
      <c r="F202" t="s">
        <v>100</v>
      </c>
      <c r="G202" t="s">
        <v>58</v>
      </c>
      <c r="H202" t="s">
        <v>39</v>
      </c>
      <c r="I202" t="s">
        <v>46</v>
      </c>
      <c r="J202" s="1">
        <v>45321</v>
      </c>
      <c r="K202" s="1">
        <v>45360</v>
      </c>
      <c r="L202" t="s">
        <v>28</v>
      </c>
      <c r="M202" s="2">
        <v>48</v>
      </c>
      <c r="O202" t="s">
        <v>29</v>
      </c>
      <c r="P202">
        <v>16</v>
      </c>
      <c r="Q202" t="s">
        <v>30</v>
      </c>
      <c r="R202" t="s">
        <v>104</v>
      </c>
      <c r="S202" t="s">
        <v>498</v>
      </c>
      <c r="T202">
        <v>35</v>
      </c>
      <c r="U202" t="str">
        <f>IF(Teacher_Data[[#This Row],[Completion_Status]]="Completed","Yes","No")</f>
        <v>No</v>
      </c>
      <c r="V202">
        <f>IF(Teacher_Data[[#This Row],[Completion_Status]]="Completed",1,0)</f>
        <v>0</v>
      </c>
      <c r="W202">
        <f>1</f>
        <v>1</v>
      </c>
      <c r="X202">
        <f>Teacher_Data[[#This Row],[End_Date]]-Teacher_Data[[#This Row],[Start_Date]]</f>
        <v>39</v>
      </c>
      <c r="Y202" t="str">
        <f>_xlfn.IFS(Teacher_Data[[#This Row],[Experience_Years]]&lt;=5,"0-5 Years",Teacher_Data[[#This Row],[Experience_Years]]&lt;=10,"5-10 Years",Teacher_Data[[#This Row],[Experience_Years]]&lt;=20,"11-20 Years",TRUE,"20+ Years")</f>
        <v>20+ Years</v>
      </c>
    </row>
    <row r="203" spans="1:25" x14ac:dyDescent="0.3">
      <c r="A203" t="s">
        <v>499</v>
      </c>
      <c r="B203" t="s">
        <v>94</v>
      </c>
      <c r="C203" t="s">
        <v>35</v>
      </c>
      <c r="D203">
        <v>29</v>
      </c>
      <c r="E203" t="s">
        <v>36</v>
      </c>
      <c r="F203" t="s">
        <v>24</v>
      </c>
      <c r="G203" t="s">
        <v>76</v>
      </c>
      <c r="H203" t="s">
        <v>26</v>
      </c>
      <c r="I203" t="s">
        <v>27</v>
      </c>
      <c r="J203" s="1">
        <v>45383</v>
      </c>
      <c r="K203" s="1">
        <v>45421</v>
      </c>
      <c r="L203" t="s">
        <v>60</v>
      </c>
      <c r="M203" s="2">
        <v>13</v>
      </c>
      <c r="O203" t="s">
        <v>29</v>
      </c>
      <c r="P203">
        <v>9</v>
      </c>
      <c r="Q203" t="s">
        <v>68</v>
      </c>
      <c r="R203" t="s">
        <v>104</v>
      </c>
      <c r="S203" t="s">
        <v>500</v>
      </c>
      <c r="T203">
        <v>12</v>
      </c>
      <c r="U203" t="str">
        <f>IF(Teacher_Data[[#This Row],[Completion_Status]]="Completed","Yes","No")</f>
        <v>No</v>
      </c>
      <c r="V203">
        <f>IF(Teacher_Data[[#This Row],[Completion_Status]]="Completed",1,0)</f>
        <v>0</v>
      </c>
      <c r="W203">
        <f>1</f>
        <v>1</v>
      </c>
      <c r="X203">
        <f>Teacher_Data[[#This Row],[End_Date]]-Teacher_Data[[#This Row],[Start_Date]]</f>
        <v>38</v>
      </c>
      <c r="Y203" t="str">
        <f>_xlfn.IFS(Teacher_Data[[#This Row],[Experience_Years]]&lt;=5,"0-5 Years",Teacher_Data[[#This Row],[Experience_Years]]&lt;=10,"5-10 Years",Teacher_Data[[#This Row],[Experience_Years]]&lt;=20,"11-20 Years",TRUE,"20+ Years")</f>
        <v>11-20 Years</v>
      </c>
    </row>
    <row r="204" spans="1:25" x14ac:dyDescent="0.3">
      <c r="A204" t="s">
        <v>501</v>
      </c>
      <c r="B204" t="s">
        <v>182</v>
      </c>
      <c r="C204" t="s">
        <v>22</v>
      </c>
      <c r="D204">
        <v>39</v>
      </c>
      <c r="E204" t="s">
        <v>66</v>
      </c>
      <c r="F204" t="s">
        <v>24</v>
      </c>
      <c r="G204" t="s">
        <v>58</v>
      </c>
      <c r="H204" t="s">
        <v>59</v>
      </c>
      <c r="I204" t="s">
        <v>46</v>
      </c>
      <c r="J204" s="1">
        <v>45329</v>
      </c>
      <c r="K204" s="1">
        <v>45365</v>
      </c>
      <c r="L204" t="s">
        <v>60</v>
      </c>
      <c r="M204" s="2">
        <v>16</v>
      </c>
      <c r="O204" t="s">
        <v>29</v>
      </c>
      <c r="P204">
        <v>9</v>
      </c>
      <c r="Q204" t="s">
        <v>30</v>
      </c>
      <c r="R204" t="s">
        <v>104</v>
      </c>
      <c r="S204" t="s">
        <v>502</v>
      </c>
      <c r="T204">
        <v>35</v>
      </c>
      <c r="U204" t="str">
        <f>IF(Teacher_Data[[#This Row],[Completion_Status]]="Completed","Yes","No")</f>
        <v>No</v>
      </c>
      <c r="V204">
        <f>IF(Teacher_Data[[#This Row],[Completion_Status]]="Completed",1,0)</f>
        <v>0</v>
      </c>
      <c r="W204">
        <f>1</f>
        <v>1</v>
      </c>
      <c r="X204">
        <f>Teacher_Data[[#This Row],[End_Date]]-Teacher_Data[[#This Row],[Start_Date]]</f>
        <v>36</v>
      </c>
      <c r="Y204" t="str">
        <f>_xlfn.IFS(Teacher_Data[[#This Row],[Experience_Years]]&lt;=5,"0-5 Years",Teacher_Data[[#This Row],[Experience_Years]]&lt;=10,"5-10 Years",Teacher_Data[[#This Row],[Experience_Years]]&lt;=20,"11-20 Years",TRUE,"20+ Years")</f>
        <v>20+ Years</v>
      </c>
    </row>
    <row r="205" spans="1:25" x14ac:dyDescent="0.3">
      <c r="A205" t="s">
        <v>503</v>
      </c>
      <c r="B205" t="s">
        <v>188</v>
      </c>
      <c r="C205" t="s">
        <v>22</v>
      </c>
      <c r="D205">
        <v>58</v>
      </c>
      <c r="E205" t="s">
        <v>23</v>
      </c>
      <c r="F205" t="s">
        <v>83</v>
      </c>
      <c r="G205" t="s">
        <v>38</v>
      </c>
      <c r="H205" t="s">
        <v>26</v>
      </c>
      <c r="I205" t="s">
        <v>27</v>
      </c>
      <c r="J205" s="1">
        <v>45566</v>
      </c>
      <c r="K205" s="1">
        <v>45599</v>
      </c>
      <c r="L205" t="s">
        <v>60</v>
      </c>
      <c r="M205" s="2">
        <v>33</v>
      </c>
      <c r="O205" t="s">
        <v>29</v>
      </c>
      <c r="P205">
        <v>37</v>
      </c>
      <c r="Q205" t="s">
        <v>61</v>
      </c>
      <c r="R205" t="s">
        <v>104</v>
      </c>
      <c r="S205" t="s">
        <v>504</v>
      </c>
      <c r="T205">
        <v>12</v>
      </c>
      <c r="U205" t="str">
        <f>IF(Teacher_Data[[#This Row],[Completion_Status]]="Completed","Yes","No")</f>
        <v>No</v>
      </c>
      <c r="V205">
        <f>IF(Teacher_Data[[#This Row],[Completion_Status]]="Completed",1,0)</f>
        <v>0</v>
      </c>
      <c r="W205">
        <f>1</f>
        <v>1</v>
      </c>
      <c r="X205">
        <f>Teacher_Data[[#This Row],[End_Date]]-Teacher_Data[[#This Row],[Start_Date]]</f>
        <v>33</v>
      </c>
      <c r="Y205" t="str">
        <f>_xlfn.IFS(Teacher_Data[[#This Row],[Experience_Years]]&lt;=5,"0-5 Years",Teacher_Data[[#This Row],[Experience_Years]]&lt;=10,"5-10 Years",Teacher_Data[[#This Row],[Experience_Years]]&lt;=20,"11-20 Years",TRUE,"20+ Years")</f>
        <v>11-20 Years</v>
      </c>
    </row>
    <row r="206" spans="1:25" x14ac:dyDescent="0.3">
      <c r="A206" t="s">
        <v>505</v>
      </c>
      <c r="B206" t="s">
        <v>89</v>
      </c>
      <c r="C206" t="s">
        <v>22</v>
      </c>
      <c r="D206">
        <v>28</v>
      </c>
      <c r="E206" t="s">
        <v>36</v>
      </c>
      <c r="F206" t="s">
        <v>24</v>
      </c>
      <c r="G206" t="s">
        <v>58</v>
      </c>
      <c r="H206" t="s">
        <v>26</v>
      </c>
      <c r="I206" t="s">
        <v>51</v>
      </c>
      <c r="J206" s="1">
        <v>45497</v>
      </c>
      <c r="K206" s="1">
        <v>45524</v>
      </c>
      <c r="L206" t="s">
        <v>60</v>
      </c>
      <c r="M206" s="2">
        <v>4</v>
      </c>
      <c r="O206" t="s">
        <v>29</v>
      </c>
      <c r="P206">
        <v>31</v>
      </c>
      <c r="Q206" t="s">
        <v>30</v>
      </c>
      <c r="R206" t="s">
        <v>31</v>
      </c>
      <c r="S206" t="s">
        <v>506</v>
      </c>
      <c r="T206">
        <v>12</v>
      </c>
      <c r="U206" t="str">
        <f>IF(Teacher_Data[[#This Row],[Completion_Status]]="Completed","Yes","No")</f>
        <v>No</v>
      </c>
      <c r="V206">
        <f>IF(Teacher_Data[[#This Row],[Completion_Status]]="Completed",1,0)</f>
        <v>0</v>
      </c>
      <c r="W206">
        <f>1</f>
        <v>1</v>
      </c>
      <c r="X206">
        <f>Teacher_Data[[#This Row],[End_Date]]-Teacher_Data[[#This Row],[Start_Date]]</f>
        <v>27</v>
      </c>
      <c r="Y206" t="str">
        <f>_xlfn.IFS(Teacher_Data[[#This Row],[Experience_Years]]&lt;=5,"0-5 Years",Teacher_Data[[#This Row],[Experience_Years]]&lt;=10,"5-10 Years",Teacher_Data[[#This Row],[Experience_Years]]&lt;=20,"11-20 Years",TRUE,"20+ Years")</f>
        <v>11-20 Years</v>
      </c>
    </row>
    <row r="207" spans="1:25" x14ac:dyDescent="0.3">
      <c r="A207" t="s">
        <v>507</v>
      </c>
      <c r="B207" t="s">
        <v>188</v>
      </c>
      <c r="C207" t="s">
        <v>35</v>
      </c>
      <c r="D207">
        <v>58</v>
      </c>
      <c r="E207" t="s">
        <v>66</v>
      </c>
      <c r="F207" t="s">
        <v>37</v>
      </c>
      <c r="G207" t="s">
        <v>58</v>
      </c>
      <c r="H207" t="s">
        <v>50</v>
      </c>
      <c r="I207" t="s">
        <v>51</v>
      </c>
      <c r="J207" s="1">
        <v>45346</v>
      </c>
      <c r="K207" s="1">
        <v>45364</v>
      </c>
      <c r="L207" t="s">
        <v>28</v>
      </c>
      <c r="M207" s="2">
        <v>79</v>
      </c>
      <c r="O207" t="s">
        <v>29</v>
      </c>
      <c r="P207">
        <v>19</v>
      </c>
      <c r="Q207" t="s">
        <v>30</v>
      </c>
      <c r="R207" t="s">
        <v>72</v>
      </c>
      <c r="S207" t="s">
        <v>508</v>
      </c>
      <c r="T207">
        <v>4</v>
      </c>
      <c r="U207" t="str">
        <f>IF(Teacher_Data[[#This Row],[Completion_Status]]="Completed","Yes","No")</f>
        <v>No</v>
      </c>
      <c r="V207">
        <f>IF(Teacher_Data[[#This Row],[Completion_Status]]="Completed",1,0)</f>
        <v>0</v>
      </c>
      <c r="W207">
        <f>1</f>
        <v>1</v>
      </c>
      <c r="X207">
        <f>Teacher_Data[[#This Row],[End_Date]]-Teacher_Data[[#This Row],[Start_Date]]</f>
        <v>18</v>
      </c>
      <c r="Y207" t="str">
        <f>_xlfn.IFS(Teacher_Data[[#This Row],[Experience_Years]]&lt;=5,"0-5 Years",Teacher_Data[[#This Row],[Experience_Years]]&lt;=10,"5-10 Years",Teacher_Data[[#This Row],[Experience_Years]]&lt;=20,"11-20 Years",TRUE,"20+ Years")</f>
        <v>0-5 Years</v>
      </c>
    </row>
    <row r="208" spans="1:25" x14ac:dyDescent="0.3">
      <c r="A208" t="s">
        <v>509</v>
      </c>
      <c r="B208" t="s">
        <v>110</v>
      </c>
      <c r="C208" t="s">
        <v>35</v>
      </c>
      <c r="D208">
        <v>43</v>
      </c>
      <c r="E208" t="s">
        <v>57</v>
      </c>
      <c r="F208" t="s">
        <v>83</v>
      </c>
      <c r="G208" t="s">
        <v>76</v>
      </c>
      <c r="H208" t="s">
        <v>26</v>
      </c>
      <c r="I208" t="s">
        <v>27</v>
      </c>
      <c r="J208" s="1">
        <v>45516</v>
      </c>
      <c r="K208" s="1">
        <v>45549</v>
      </c>
      <c r="L208" t="s">
        <v>28</v>
      </c>
      <c r="M208" s="2">
        <v>72</v>
      </c>
      <c r="O208" t="s">
        <v>29</v>
      </c>
      <c r="P208">
        <v>18</v>
      </c>
      <c r="Q208" t="s">
        <v>30</v>
      </c>
      <c r="R208" t="s">
        <v>41</v>
      </c>
      <c r="S208" t="s">
        <v>510</v>
      </c>
      <c r="T208">
        <v>26</v>
      </c>
      <c r="U208" t="str">
        <f>IF(Teacher_Data[[#This Row],[Completion_Status]]="Completed","Yes","No")</f>
        <v>No</v>
      </c>
      <c r="V208">
        <f>IF(Teacher_Data[[#This Row],[Completion_Status]]="Completed",1,0)</f>
        <v>0</v>
      </c>
      <c r="W208">
        <f>1</f>
        <v>1</v>
      </c>
      <c r="X208">
        <f>Teacher_Data[[#This Row],[End_Date]]-Teacher_Data[[#This Row],[Start_Date]]</f>
        <v>33</v>
      </c>
      <c r="Y208" t="str">
        <f>_xlfn.IFS(Teacher_Data[[#This Row],[Experience_Years]]&lt;=5,"0-5 Years",Teacher_Data[[#This Row],[Experience_Years]]&lt;=10,"5-10 Years",Teacher_Data[[#This Row],[Experience_Years]]&lt;=20,"11-20 Years",TRUE,"20+ Years")</f>
        <v>20+ Years</v>
      </c>
    </row>
    <row r="209" spans="1:25" x14ac:dyDescent="0.3">
      <c r="A209" t="s">
        <v>511</v>
      </c>
      <c r="B209" t="s">
        <v>65</v>
      </c>
      <c r="C209" t="s">
        <v>35</v>
      </c>
      <c r="D209">
        <v>29</v>
      </c>
      <c r="E209" t="s">
        <v>57</v>
      </c>
      <c r="F209" t="s">
        <v>67</v>
      </c>
      <c r="G209" t="s">
        <v>58</v>
      </c>
      <c r="H209" t="s">
        <v>59</v>
      </c>
      <c r="I209" t="s">
        <v>51</v>
      </c>
      <c r="J209" s="1">
        <v>45513</v>
      </c>
      <c r="K209" s="1">
        <v>45567</v>
      </c>
      <c r="L209" t="s">
        <v>28</v>
      </c>
      <c r="M209" s="2">
        <v>46</v>
      </c>
      <c r="O209" t="s">
        <v>29</v>
      </c>
      <c r="P209">
        <v>60</v>
      </c>
      <c r="Q209" t="s">
        <v>40</v>
      </c>
      <c r="R209" t="s">
        <v>41</v>
      </c>
      <c r="S209" t="s">
        <v>512</v>
      </c>
      <c r="T209">
        <v>3</v>
      </c>
      <c r="U209" t="str">
        <f>IF(Teacher_Data[[#This Row],[Completion_Status]]="Completed","Yes","No")</f>
        <v>No</v>
      </c>
      <c r="V209">
        <f>IF(Teacher_Data[[#This Row],[Completion_Status]]="Completed",1,0)</f>
        <v>0</v>
      </c>
      <c r="W209">
        <f>1</f>
        <v>1</v>
      </c>
      <c r="X209">
        <f>Teacher_Data[[#This Row],[End_Date]]-Teacher_Data[[#This Row],[Start_Date]]</f>
        <v>54</v>
      </c>
      <c r="Y209" t="str">
        <f>_xlfn.IFS(Teacher_Data[[#This Row],[Experience_Years]]&lt;=5,"0-5 Years",Teacher_Data[[#This Row],[Experience_Years]]&lt;=10,"5-10 Years",Teacher_Data[[#This Row],[Experience_Years]]&lt;=20,"11-20 Years",TRUE,"20+ Years")</f>
        <v>0-5 Years</v>
      </c>
    </row>
    <row r="210" spans="1:25" x14ac:dyDescent="0.3">
      <c r="A210" t="s">
        <v>513</v>
      </c>
      <c r="B210" t="s">
        <v>75</v>
      </c>
      <c r="C210" t="s">
        <v>35</v>
      </c>
      <c r="D210">
        <v>54</v>
      </c>
      <c r="E210" t="s">
        <v>36</v>
      </c>
      <c r="F210" t="s">
        <v>100</v>
      </c>
      <c r="G210" t="s">
        <v>76</v>
      </c>
      <c r="H210" t="s">
        <v>59</v>
      </c>
      <c r="I210" t="s">
        <v>27</v>
      </c>
      <c r="J210" s="1">
        <v>45399</v>
      </c>
      <c r="K210" s="1">
        <v>45433</v>
      </c>
      <c r="L210" t="s">
        <v>52</v>
      </c>
      <c r="M210" s="2">
        <v>64</v>
      </c>
      <c r="N210">
        <v>73</v>
      </c>
      <c r="O210" t="s">
        <v>53</v>
      </c>
      <c r="P210">
        <v>11</v>
      </c>
      <c r="Q210" t="s">
        <v>30</v>
      </c>
      <c r="R210" t="s">
        <v>62</v>
      </c>
      <c r="S210" t="s">
        <v>514</v>
      </c>
      <c r="T210">
        <v>14</v>
      </c>
      <c r="U210" t="str">
        <f>IF(Teacher_Data[[#This Row],[Completion_Status]]="Completed","Yes","No")</f>
        <v>Yes</v>
      </c>
      <c r="V210">
        <f>IF(Teacher_Data[[#This Row],[Completion_Status]]="Completed",1,0)</f>
        <v>1</v>
      </c>
      <c r="W210">
        <f>1</f>
        <v>1</v>
      </c>
      <c r="X210">
        <f>Teacher_Data[[#This Row],[End_Date]]-Teacher_Data[[#This Row],[Start_Date]]</f>
        <v>34</v>
      </c>
      <c r="Y210" t="str">
        <f>_xlfn.IFS(Teacher_Data[[#This Row],[Experience_Years]]&lt;=5,"0-5 Years",Teacher_Data[[#This Row],[Experience_Years]]&lt;=10,"5-10 Years",Teacher_Data[[#This Row],[Experience_Years]]&lt;=20,"11-20 Years",TRUE,"20+ Years")</f>
        <v>11-20 Years</v>
      </c>
    </row>
    <row r="211" spans="1:25" x14ac:dyDescent="0.3">
      <c r="A211" t="s">
        <v>515</v>
      </c>
      <c r="B211" t="s">
        <v>34</v>
      </c>
      <c r="C211" t="s">
        <v>22</v>
      </c>
      <c r="D211">
        <v>27</v>
      </c>
      <c r="E211" t="s">
        <v>66</v>
      </c>
      <c r="F211" t="s">
        <v>37</v>
      </c>
      <c r="G211" t="s">
        <v>76</v>
      </c>
      <c r="H211" t="s">
        <v>26</v>
      </c>
      <c r="I211" t="s">
        <v>46</v>
      </c>
      <c r="J211" s="1">
        <v>45412</v>
      </c>
      <c r="K211" s="1">
        <v>45431</v>
      </c>
      <c r="L211" t="s">
        <v>60</v>
      </c>
      <c r="M211" s="2">
        <v>2</v>
      </c>
      <c r="O211" t="s">
        <v>29</v>
      </c>
      <c r="P211">
        <v>39</v>
      </c>
      <c r="Q211" t="s">
        <v>40</v>
      </c>
      <c r="R211" t="s">
        <v>62</v>
      </c>
      <c r="S211" t="s">
        <v>516</v>
      </c>
      <c r="T211">
        <v>22</v>
      </c>
      <c r="U211" t="str">
        <f>IF(Teacher_Data[[#This Row],[Completion_Status]]="Completed","Yes","No")</f>
        <v>No</v>
      </c>
      <c r="V211">
        <f>IF(Teacher_Data[[#This Row],[Completion_Status]]="Completed",1,0)</f>
        <v>0</v>
      </c>
      <c r="W211">
        <f>1</f>
        <v>1</v>
      </c>
      <c r="X211">
        <f>Teacher_Data[[#This Row],[End_Date]]-Teacher_Data[[#This Row],[Start_Date]]</f>
        <v>19</v>
      </c>
      <c r="Y211" t="str">
        <f>_xlfn.IFS(Teacher_Data[[#This Row],[Experience_Years]]&lt;=5,"0-5 Years",Teacher_Data[[#This Row],[Experience_Years]]&lt;=10,"5-10 Years",Teacher_Data[[#This Row],[Experience_Years]]&lt;=20,"11-20 Years",TRUE,"20+ Years")</f>
        <v>20+ Years</v>
      </c>
    </row>
    <row r="212" spans="1:25" x14ac:dyDescent="0.3">
      <c r="A212" t="s">
        <v>517</v>
      </c>
      <c r="B212" t="s">
        <v>44</v>
      </c>
      <c r="C212" t="s">
        <v>35</v>
      </c>
      <c r="D212">
        <v>37</v>
      </c>
      <c r="E212" t="s">
        <v>36</v>
      </c>
      <c r="F212" t="s">
        <v>100</v>
      </c>
      <c r="G212" t="s">
        <v>76</v>
      </c>
      <c r="H212" t="s">
        <v>59</v>
      </c>
      <c r="I212" t="s">
        <v>27</v>
      </c>
      <c r="J212" s="1">
        <v>45560</v>
      </c>
      <c r="K212" s="1">
        <v>45573</v>
      </c>
      <c r="L212" t="s">
        <v>28</v>
      </c>
      <c r="M212" s="2">
        <v>43</v>
      </c>
      <c r="O212" t="s">
        <v>29</v>
      </c>
      <c r="P212">
        <v>39</v>
      </c>
      <c r="Q212" t="s">
        <v>68</v>
      </c>
      <c r="R212" t="s">
        <v>41</v>
      </c>
      <c r="S212" t="s">
        <v>518</v>
      </c>
      <c r="T212">
        <v>7</v>
      </c>
      <c r="U212" t="str">
        <f>IF(Teacher_Data[[#This Row],[Completion_Status]]="Completed","Yes","No")</f>
        <v>No</v>
      </c>
      <c r="V212">
        <f>IF(Teacher_Data[[#This Row],[Completion_Status]]="Completed",1,0)</f>
        <v>0</v>
      </c>
      <c r="W212">
        <f>1</f>
        <v>1</v>
      </c>
      <c r="X212">
        <f>Teacher_Data[[#This Row],[End_Date]]-Teacher_Data[[#This Row],[Start_Date]]</f>
        <v>13</v>
      </c>
      <c r="Y212" t="str">
        <f>_xlfn.IFS(Teacher_Data[[#This Row],[Experience_Years]]&lt;=5,"0-5 Years",Teacher_Data[[#This Row],[Experience_Years]]&lt;=10,"5-10 Years",Teacher_Data[[#This Row],[Experience_Years]]&lt;=20,"11-20 Years",TRUE,"20+ Years")</f>
        <v>5-10 Years</v>
      </c>
    </row>
    <row r="213" spans="1:25" x14ac:dyDescent="0.3">
      <c r="A213" t="s">
        <v>519</v>
      </c>
      <c r="B213" t="s">
        <v>65</v>
      </c>
      <c r="C213" t="s">
        <v>22</v>
      </c>
      <c r="D213">
        <v>37</v>
      </c>
      <c r="E213" t="s">
        <v>36</v>
      </c>
      <c r="F213" t="s">
        <v>67</v>
      </c>
      <c r="G213" t="s">
        <v>58</v>
      </c>
      <c r="H213" t="s">
        <v>26</v>
      </c>
      <c r="I213" t="s">
        <v>51</v>
      </c>
      <c r="J213" s="1">
        <v>45424</v>
      </c>
      <c r="K213" s="1">
        <v>45456</v>
      </c>
      <c r="L213" t="s">
        <v>28</v>
      </c>
      <c r="M213" s="2">
        <v>44</v>
      </c>
      <c r="O213" t="s">
        <v>29</v>
      </c>
      <c r="P213">
        <v>25</v>
      </c>
      <c r="Q213" t="s">
        <v>68</v>
      </c>
      <c r="R213" t="s">
        <v>62</v>
      </c>
      <c r="S213" t="s">
        <v>520</v>
      </c>
      <c r="T213">
        <v>22</v>
      </c>
      <c r="U213" t="str">
        <f>IF(Teacher_Data[[#This Row],[Completion_Status]]="Completed","Yes","No")</f>
        <v>No</v>
      </c>
      <c r="V213">
        <f>IF(Teacher_Data[[#This Row],[Completion_Status]]="Completed",1,0)</f>
        <v>0</v>
      </c>
      <c r="W213">
        <f>1</f>
        <v>1</v>
      </c>
      <c r="X213">
        <f>Teacher_Data[[#This Row],[End_Date]]-Teacher_Data[[#This Row],[Start_Date]]</f>
        <v>32</v>
      </c>
      <c r="Y213" t="str">
        <f>_xlfn.IFS(Teacher_Data[[#This Row],[Experience_Years]]&lt;=5,"0-5 Years",Teacher_Data[[#This Row],[Experience_Years]]&lt;=10,"5-10 Years",Teacher_Data[[#This Row],[Experience_Years]]&lt;=20,"11-20 Years",TRUE,"20+ Years")</f>
        <v>20+ Years</v>
      </c>
    </row>
    <row r="214" spans="1:25" x14ac:dyDescent="0.3">
      <c r="A214" t="s">
        <v>521</v>
      </c>
      <c r="B214" t="s">
        <v>167</v>
      </c>
      <c r="C214" t="s">
        <v>22</v>
      </c>
      <c r="D214">
        <v>34</v>
      </c>
      <c r="E214" t="s">
        <v>23</v>
      </c>
      <c r="F214" t="s">
        <v>24</v>
      </c>
      <c r="G214" t="s">
        <v>45</v>
      </c>
      <c r="H214" t="s">
        <v>39</v>
      </c>
      <c r="I214" t="s">
        <v>27</v>
      </c>
      <c r="J214" s="1">
        <v>45504</v>
      </c>
      <c r="K214" s="1">
        <v>45542</v>
      </c>
      <c r="L214" t="s">
        <v>28</v>
      </c>
      <c r="M214" s="2">
        <v>77</v>
      </c>
      <c r="O214" t="s">
        <v>29</v>
      </c>
      <c r="P214">
        <v>13</v>
      </c>
      <c r="Q214" t="s">
        <v>30</v>
      </c>
      <c r="R214" t="s">
        <v>31</v>
      </c>
      <c r="S214" t="s">
        <v>522</v>
      </c>
      <c r="T214">
        <v>10</v>
      </c>
      <c r="U214" t="str">
        <f>IF(Teacher_Data[[#This Row],[Completion_Status]]="Completed","Yes","No")</f>
        <v>No</v>
      </c>
      <c r="V214">
        <f>IF(Teacher_Data[[#This Row],[Completion_Status]]="Completed",1,0)</f>
        <v>0</v>
      </c>
      <c r="W214">
        <f>1</f>
        <v>1</v>
      </c>
      <c r="X214">
        <f>Teacher_Data[[#This Row],[End_Date]]-Teacher_Data[[#This Row],[Start_Date]]</f>
        <v>38</v>
      </c>
      <c r="Y214" t="str">
        <f>_xlfn.IFS(Teacher_Data[[#This Row],[Experience_Years]]&lt;=5,"0-5 Years",Teacher_Data[[#This Row],[Experience_Years]]&lt;=10,"5-10 Years",Teacher_Data[[#This Row],[Experience_Years]]&lt;=20,"11-20 Years",TRUE,"20+ Years")</f>
        <v>5-10 Years</v>
      </c>
    </row>
    <row r="215" spans="1:25" x14ac:dyDescent="0.3">
      <c r="A215" t="s">
        <v>523</v>
      </c>
      <c r="B215" t="s">
        <v>44</v>
      </c>
      <c r="C215" t="s">
        <v>35</v>
      </c>
      <c r="D215">
        <v>35</v>
      </c>
      <c r="E215" t="s">
        <v>66</v>
      </c>
      <c r="F215" t="s">
        <v>37</v>
      </c>
      <c r="G215" t="s">
        <v>45</v>
      </c>
      <c r="H215" t="s">
        <v>26</v>
      </c>
      <c r="I215" t="s">
        <v>46</v>
      </c>
      <c r="J215" s="1">
        <v>45543</v>
      </c>
      <c r="K215" s="1">
        <v>45562</v>
      </c>
      <c r="L215" t="s">
        <v>28</v>
      </c>
      <c r="M215" s="2">
        <v>74</v>
      </c>
      <c r="O215" t="s">
        <v>29</v>
      </c>
      <c r="P215">
        <v>29</v>
      </c>
      <c r="Q215" t="s">
        <v>30</v>
      </c>
      <c r="R215" t="s">
        <v>41</v>
      </c>
      <c r="S215" t="s">
        <v>524</v>
      </c>
      <c r="T215">
        <v>19</v>
      </c>
      <c r="U215" t="str">
        <f>IF(Teacher_Data[[#This Row],[Completion_Status]]="Completed","Yes","No")</f>
        <v>No</v>
      </c>
      <c r="V215">
        <f>IF(Teacher_Data[[#This Row],[Completion_Status]]="Completed",1,0)</f>
        <v>0</v>
      </c>
      <c r="W215">
        <f>1</f>
        <v>1</v>
      </c>
      <c r="X215">
        <f>Teacher_Data[[#This Row],[End_Date]]-Teacher_Data[[#This Row],[Start_Date]]</f>
        <v>19</v>
      </c>
      <c r="Y215" t="str">
        <f>_xlfn.IFS(Teacher_Data[[#This Row],[Experience_Years]]&lt;=5,"0-5 Years",Teacher_Data[[#This Row],[Experience_Years]]&lt;=10,"5-10 Years",Teacher_Data[[#This Row],[Experience_Years]]&lt;=20,"11-20 Years",TRUE,"20+ Years")</f>
        <v>11-20 Years</v>
      </c>
    </row>
    <row r="216" spans="1:25" x14ac:dyDescent="0.3">
      <c r="A216" t="s">
        <v>525</v>
      </c>
      <c r="B216" t="s">
        <v>79</v>
      </c>
      <c r="C216" t="s">
        <v>35</v>
      </c>
      <c r="D216">
        <v>56</v>
      </c>
      <c r="E216" t="s">
        <v>23</v>
      </c>
      <c r="F216" t="s">
        <v>100</v>
      </c>
      <c r="G216" t="s">
        <v>76</v>
      </c>
      <c r="H216" t="s">
        <v>50</v>
      </c>
      <c r="I216" t="s">
        <v>27</v>
      </c>
      <c r="J216" s="1">
        <v>45462</v>
      </c>
      <c r="K216" s="1">
        <v>45498</v>
      </c>
      <c r="L216" t="s">
        <v>60</v>
      </c>
      <c r="M216" s="2">
        <v>8</v>
      </c>
      <c r="O216" t="s">
        <v>29</v>
      </c>
      <c r="P216">
        <v>53</v>
      </c>
      <c r="Q216" t="s">
        <v>40</v>
      </c>
      <c r="R216" t="s">
        <v>104</v>
      </c>
      <c r="S216" t="s">
        <v>526</v>
      </c>
      <c r="T216">
        <v>2</v>
      </c>
      <c r="U216" t="str">
        <f>IF(Teacher_Data[[#This Row],[Completion_Status]]="Completed","Yes","No")</f>
        <v>No</v>
      </c>
      <c r="V216">
        <f>IF(Teacher_Data[[#This Row],[Completion_Status]]="Completed",1,0)</f>
        <v>0</v>
      </c>
      <c r="W216">
        <f>1</f>
        <v>1</v>
      </c>
      <c r="X216">
        <f>Teacher_Data[[#This Row],[End_Date]]-Teacher_Data[[#This Row],[Start_Date]]</f>
        <v>36</v>
      </c>
      <c r="Y216" t="str">
        <f>_xlfn.IFS(Teacher_Data[[#This Row],[Experience_Years]]&lt;=5,"0-5 Years",Teacher_Data[[#This Row],[Experience_Years]]&lt;=10,"5-10 Years",Teacher_Data[[#This Row],[Experience_Years]]&lt;=20,"11-20 Years",TRUE,"20+ Years")</f>
        <v>0-5 Years</v>
      </c>
    </row>
    <row r="217" spans="1:25" x14ac:dyDescent="0.3">
      <c r="A217" t="s">
        <v>527</v>
      </c>
      <c r="B217" t="s">
        <v>110</v>
      </c>
      <c r="C217" t="s">
        <v>35</v>
      </c>
      <c r="D217">
        <v>35</v>
      </c>
      <c r="E217" t="s">
        <v>36</v>
      </c>
      <c r="F217" t="s">
        <v>37</v>
      </c>
      <c r="G217" t="s">
        <v>58</v>
      </c>
      <c r="H217" t="s">
        <v>59</v>
      </c>
      <c r="I217" t="s">
        <v>51</v>
      </c>
      <c r="J217" s="1">
        <v>45492</v>
      </c>
      <c r="K217" s="1">
        <v>45551</v>
      </c>
      <c r="L217" t="s">
        <v>60</v>
      </c>
      <c r="M217" s="2">
        <v>36</v>
      </c>
      <c r="O217" t="s">
        <v>29</v>
      </c>
      <c r="P217">
        <v>43</v>
      </c>
      <c r="Q217" t="s">
        <v>61</v>
      </c>
      <c r="R217" t="s">
        <v>104</v>
      </c>
      <c r="S217" t="s">
        <v>528</v>
      </c>
      <c r="T217">
        <v>3</v>
      </c>
      <c r="U217" t="str">
        <f>IF(Teacher_Data[[#This Row],[Completion_Status]]="Completed","Yes","No")</f>
        <v>No</v>
      </c>
      <c r="V217">
        <f>IF(Teacher_Data[[#This Row],[Completion_Status]]="Completed",1,0)</f>
        <v>0</v>
      </c>
      <c r="W217">
        <f>1</f>
        <v>1</v>
      </c>
      <c r="X217">
        <f>Teacher_Data[[#This Row],[End_Date]]-Teacher_Data[[#This Row],[Start_Date]]</f>
        <v>59</v>
      </c>
      <c r="Y217" t="str">
        <f>_xlfn.IFS(Teacher_Data[[#This Row],[Experience_Years]]&lt;=5,"0-5 Years",Teacher_Data[[#This Row],[Experience_Years]]&lt;=10,"5-10 Years",Teacher_Data[[#This Row],[Experience_Years]]&lt;=20,"11-20 Years",TRUE,"20+ Years")</f>
        <v>0-5 Years</v>
      </c>
    </row>
    <row r="218" spans="1:25" x14ac:dyDescent="0.3">
      <c r="A218" t="s">
        <v>529</v>
      </c>
      <c r="B218" t="s">
        <v>182</v>
      </c>
      <c r="C218" t="s">
        <v>22</v>
      </c>
      <c r="D218">
        <v>29</v>
      </c>
      <c r="E218" t="s">
        <v>23</v>
      </c>
      <c r="F218" t="s">
        <v>100</v>
      </c>
      <c r="G218" t="s">
        <v>58</v>
      </c>
      <c r="H218" t="s">
        <v>59</v>
      </c>
      <c r="I218" t="s">
        <v>27</v>
      </c>
      <c r="J218" s="1">
        <v>45431</v>
      </c>
      <c r="K218" s="1">
        <v>45459</v>
      </c>
      <c r="L218" t="s">
        <v>28</v>
      </c>
      <c r="M218" s="2">
        <v>78</v>
      </c>
      <c r="O218" t="s">
        <v>29</v>
      </c>
      <c r="P218">
        <v>31</v>
      </c>
      <c r="Q218" t="s">
        <v>40</v>
      </c>
      <c r="R218" t="s">
        <v>72</v>
      </c>
      <c r="S218" t="s">
        <v>530</v>
      </c>
      <c r="T218">
        <v>8</v>
      </c>
      <c r="U218" t="str">
        <f>IF(Teacher_Data[[#This Row],[Completion_Status]]="Completed","Yes","No")</f>
        <v>No</v>
      </c>
      <c r="V218">
        <f>IF(Teacher_Data[[#This Row],[Completion_Status]]="Completed",1,0)</f>
        <v>0</v>
      </c>
      <c r="W218">
        <f>1</f>
        <v>1</v>
      </c>
      <c r="X218">
        <f>Teacher_Data[[#This Row],[End_Date]]-Teacher_Data[[#This Row],[Start_Date]]</f>
        <v>28</v>
      </c>
      <c r="Y218" t="str">
        <f>_xlfn.IFS(Teacher_Data[[#This Row],[Experience_Years]]&lt;=5,"0-5 Years",Teacher_Data[[#This Row],[Experience_Years]]&lt;=10,"5-10 Years",Teacher_Data[[#This Row],[Experience_Years]]&lt;=20,"11-20 Years",TRUE,"20+ Years")</f>
        <v>5-10 Years</v>
      </c>
    </row>
    <row r="219" spans="1:25" x14ac:dyDescent="0.3">
      <c r="A219" t="s">
        <v>531</v>
      </c>
      <c r="B219" t="s">
        <v>176</v>
      </c>
      <c r="C219" t="s">
        <v>35</v>
      </c>
      <c r="D219">
        <v>54</v>
      </c>
      <c r="E219" t="s">
        <v>66</v>
      </c>
      <c r="F219" t="s">
        <v>37</v>
      </c>
      <c r="G219" t="s">
        <v>38</v>
      </c>
      <c r="H219" t="s">
        <v>50</v>
      </c>
      <c r="I219" t="s">
        <v>46</v>
      </c>
      <c r="J219" s="1">
        <v>45412</v>
      </c>
      <c r="K219" s="1">
        <v>45432</v>
      </c>
      <c r="L219" t="s">
        <v>52</v>
      </c>
      <c r="M219" s="2">
        <v>86</v>
      </c>
      <c r="N219">
        <v>86</v>
      </c>
      <c r="O219" t="s">
        <v>53</v>
      </c>
      <c r="P219">
        <v>36</v>
      </c>
      <c r="Q219" t="s">
        <v>30</v>
      </c>
      <c r="R219" t="s">
        <v>31</v>
      </c>
      <c r="S219" t="s">
        <v>532</v>
      </c>
      <c r="T219">
        <v>4</v>
      </c>
      <c r="U219" t="str">
        <f>IF(Teacher_Data[[#This Row],[Completion_Status]]="Completed","Yes","No")</f>
        <v>Yes</v>
      </c>
      <c r="V219">
        <f>IF(Teacher_Data[[#This Row],[Completion_Status]]="Completed",1,0)</f>
        <v>1</v>
      </c>
      <c r="W219">
        <f>1</f>
        <v>1</v>
      </c>
      <c r="X219">
        <f>Teacher_Data[[#This Row],[End_Date]]-Teacher_Data[[#This Row],[Start_Date]]</f>
        <v>20</v>
      </c>
      <c r="Y219" t="str">
        <f>_xlfn.IFS(Teacher_Data[[#This Row],[Experience_Years]]&lt;=5,"0-5 Years",Teacher_Data[[#This Row],[Experience_Years]]&lt;=10,"5-10 Years",Teacher_Data[[#This Row],[Experience_Years]]&lt;=20,"11-20 Years",TRUE,"20+ Years")</f>
        <v>0-5 Years</v>
      </c>
    </row>
    <row r="220" spans="1:25" x14ac:dyDescent="0.3">
      <c r="A220" t="s">
        <v>533</v>
      </c>
      <c r="B220" t="s">
        <v>79</v>
      </c>
      <c r="C220" t="s">
        <v>35</v>
      </c>
      <c r="D220">
        <v>39</v>
      </c>
      <c r="E220" t="s">
        <v>57</v>
      </c>
      <c r="F220" t="s">
        <v>100</v>
      </c>
      <c r="G220" t="s">
        <v>58</v>
      </c>
      <c r="H220" t="s">
        <v>50</v>
      </c>
      <c r="I220" t="s">
        <v>51</v>
      </c>
      <c r="J220" s="1">
        <v>45523</v>
      </c>
      <c r="K220" s="1">
        <v>45528</v>
      </c>
      <c r="L220" t="s">
        <v>28</v>
      </c>
      <c r="M220" s="2">
        <v>100</v>
      </c>
      <c r="O220" t="s">
        <v>29</v>
      </c>
      <c r="P220">
        <v>41</v>
      </c>
      <c r="Q220" t="s">
        <v>40</v>
      </c>
      <c r="R220" t="s">
        <v>62</v>
      </c>
      <c r="S220" t="s">
        <v>534</v>
      </c>
      <c r="T220">
        <v>33</v>
      </c>
      <c r="U220" t="str">
        <f>IF(Teacher_Data[[#This Row],[Completion_Status]]="Completed","Yes","No")</f>
        <v>No</v>
      </c>
      <c r="V220">
        <f>IF(Teacher_Data[[#This Row],[Completion_Status]]="Completed",1,0)</f>
        <v>0</v>
      </c>
      <c r="W220">
        <f>1</f>
        <v>1</v>
      </c>
      <c r="X220">
        <f>Teacher_Data[[#This Row],[End_Date]]-Teacher_Data[[#This Row],[Start_Date]]</f>
        <v>5</v>
      </c>
      <c r="Y220" t="str">
        <f>_xlfn.IFS(Teacher_Data[[#This Row],[Experience_Years]]&lt;=5,"0-5 Years",Teacher_Data[[#This Row],[Experience_Years]]&lt;=10,"5-10 Years",Teacher_Data[[#This Row],[Experience_Years]]&lt;=20,"11-20 Years",TRUE,"20+ Years")</f>
        <v>20+ Years</v>
      </c>
    </row>
    <row r="221" spans="1:25" x14ac:dyDescent="0.3">
      <c r="A221" t="s">
        <v>535</v>
      </c>
      <c r="B221" t="s">
        <v>115</v>
      </c>
      <c r="C221" t="s">
        <v>22</v>
      </c>
      <c r="D221">
        <v>50</v>
      </c>
      <c r="E221" t="s">
        <v>57</v>
      </c>
      <c r="F221" t="s">
        <v>24</v>
      </c>
      <c r="G221" t="s">
        <v>45</v>
      </c>
      <c r="H221" t="s">
        <v>26</v>
      </c>
      <c r="I221" t="s">
        <v>46</v>
      </c>
      <c r="J221" s="1">
        <v>45509</v>
      </c>
      <c r="K221" s="1">
        <v>45537</v>
      </c>
      <c r="L221" t="s">
        <v>60</v>
      </c>
      <c r="M221" s="2">
        <v>0</v>
      </c>
      <c r="O221" t="s">
        <v>29</v>
      </c>
      <c r="P221">
        <v>27</v>
      </c>
      <c r="Q221" t="s">
        <v>68</v>
      </c>
      <c r="R221" t="s">
        <v>31</v>
      </c>
      <c r="S221" t="s">
        <v>536</v>
      </c>
      <c r="T221">
        <v>25</v>
      </c>
      <c r="U221" t="str">
        <f>IF(Teacher_Data[[#This Row],[Completion_Status]]="Completed","Yes","No")</f>
        <v>No</v>
      </c>
      <c r="V221">
        <f>IF(Teacher_Data[[#This Row],[Completion_Status]]="Completed",1,0)</f>
        <v>0</v>
      </c>
      <c r="W221">
        <f>1</f>
        <v>1</v>
      </c>
      <c r="X221">
        <f>Teacher_Data[[#This Row],[End_Date]]-Teacher_Data[[#This Row],[Start_Date]]</f>
        <v>28</v>
      </c>
      <c r="Y221" t="str">
        <f>_xlfn.IFS(Teacher_Data[[#This Row],[Experience_Years]]&lt;=5,"0-5 Years",Teacher_Data[[#This Row],[Experience_Years]]&lt;=10,"5-10 Years",Teacher_Data[[#This Row],[Experience_Years]]&lt;=20,"11-20 Years",TRUE,"20+ Years")</f>
        <v>20+ Years</v>
      </c>
    </row>
    <row r="222" spans="1:25" x14ac:dyDescent="0.3">
      <c r="A222" t="s">
        <v>537</v>
      </c>
      <c r="B222" t="s">
        <v>281</v>
      </c>
      <c r="C222" t="s">
        <v>35</v>
      </c>
      <c r="D222">
        <v>34</v>
      </c>
      <c r="E222" t="s">
        <v>57</v>
      </c>
      <c r="F222" t="s">
        <v>100</v>
      </c>
      <c r="G222" t="s">
        <v>45</v>
      </c>
      <c r="H222" t="s">
        <v>59</v>
      </c>
      <c r="I222" t="s">
        <v>27</v>
      </c>
      <c r="J222" s="1">
        <v>45390</v>
      </c>
      <c r="K222" s="1">
        <v>45411</v>
      </c>
      <c r="L222" t="s">
        <v>28</v>
      </c>
      <c r="M222" s="2">
        <v>76</v>
      </c>
      <c r="O222" t="s">
        <v>29</v>
      </c>
      <c r="P222">
        <v>38</v>
      </c>
      <c r="Q222" t="s">
        <v>40</v>
      </c>
      <c r="R222" t="s">
        <v>104</v>
      </c>
      <c r="S222" t="s">
        <v>538</v>
      </c>
      <c r="T222">
        <v>29</v>
      </c>
      <c r="U222" t="str">
        <f>IF(Teacher_Data[[#This Row],[Completion_Status]]="Completed","Yes","No")</f>
        <v>No</v>
      </c>
      <c r="V222">
        <f>IF(Teacher_Data[[#This Row],[Completion_Status]]="Completed",1,0)</f>
        <v>0</v>
      </c>
      <c r="W222">
        <f>1</f>
        <v>1</v>
      </c>
      <c r="X222">
        <f>Teacher_Data[[#This Row],[End_Date]]-Teacher_Data[[#This Row],[Start_Date]]</f>
        <v>21</v>
      </c>
      <c r="Y222" t="str">
        <f>_xlfn.IFS(Teacher_Data[[#This Row],[Experience_Years]]&lt;=5,"0-5 Years",Teacher_Data[[#This Row],[Experience_Years]]&lt;=10,"5-10 Years",Teacher_Data[[#This Row],[Experience_Years]]&lt;=20,"11-20 Years",TRUE,"20+ Years")</f>
        <v>20+ Years</v>
      </c>
    </row>
    <row r="223" spans="1:25" x14ac:dyDescent="0.3">
      <c r="A223" t="s">
        <v>539</v>
      </c>
      <c r="B223" t="s">
        <v>79</v>
      </c>
      <c r="C223" t="s">
        <v>22</v>
      </c>
      <c r="D223">
        <v>28</v>
      </c>
      <c r="E223" t="s">
        <v>23</v>
      </c>
      <c r="F223" t="s">
        <v>37</v>
      </c>
      <c r="G223" t="s">
        <v>25</v>
      </c>
      <c r="H223" t="s">
        <v>59</v>
      </c>
      <c r="I223" t="s">
        <v>46</v>
      </c>
      <c r="J223" s="1">
        <v>45572</v>
      </c>
      <c r="K223" s="1">
        <v>45620</v>
      </c>
      <c r="L223" t="s">
        <v>28</v>
      </c>
      <c r="M223" s="2">
        <v>53</v>
      </c>
      <c r="O223" t="s">
        <v>29</v>
      </c>
      <c r="P223">
        <v>58</v>
      </c>
      <c r="Q223" t="s">
        <v>61</v>
      </c>
      <c r="R223" t="s">
        <v>104</v>
      </c>
      <c r="S223" t="s">
        <v>540</v>
      </c>
      <c r="T223">
        <v>35</v>
      </c>
      <c r="U223" t="str">
        <f>IF(Teacher_Data[[#This Row],[Completion_Status]]="Completed","Yes","No")</f>
        <v>No</v>
      </c>
      <c r="V223">
        <f>IF(Teacher_Data[[#This Row],[Completion_Status]]="Completed",1,0)</f>
        <v>0</v>
      </c>
      <c r="W223">
        <f>1</f>
        <v>1</v>
      </c>
      <c r="X223">
        <f>Teacher_Data[[#This Row],[End_Date]]-Teacher_Data[[#This Row],[Start_Date]]</f>
        <v>48</v>
      </c>
      <c r="Y223" t="str">
        <f>_xlfn.IFS(Teacher_Data[[#This Row],[Experience_Years]]&lt;=5,"0-5 Years",Teacher_Data[[#This Row],[Experience_Years]]&lt;=10,"5-10 Years",Teacher_Data[[#This Row],[Experience_Years]]&lt;=20,"11-20 Years",TRUE,"20+ Years")</f>
        <v>20+ Years</v>
      </c>
    </row>
    <row r="224" spans="1:25" x14ac:dyDescent="0.3">
      <c r="A224" t="s">
        <v>541</v>
      </c>
      <c r="B224" t="s">
        <v>75</v>
      </c>
      <c r="C224" t="s">
        <v>22</v>
      </c>
      <c r="D224">
        <v>24</v>
      </c>
      <c r="E224" t="s">
        <v>23</v>
      </c>
      <c r="F224" t="s">
        <v>100</v>
      </c>
      <c r="G224" t="s">
        <v>58</v>
      </c>
      <c r="H224" t="s">
        <v>26</v>
      </c>
      <c r="I224" t="s">
        <v>27</v>
      </c>
      <c r="J224" s="1">
        <v>45496</v>
      </c>
      <c r="K224" s="1">
        <v>45534</v>
      </c>
      <c r="L224" t="s">
        <v>60</v>
      </c>
      <c r="M224" s="2">
        <v>5</v>
      </c>
      <c r="O224" t="s">
        <v>29</v>
      </c>
      <c r="P224">
        <v>57</v>
      </c>
      <c r="Q224" t="s">
        <v>30</v>
      </c>
      <c r="R224" t="s">
        <v>104</v>
      </c>
      <c r="S224" t="s">
        <v>542</v>
      </c>
      <c r="T224">
        <v>28</v>
      </c>
      <c r="U224" t="str">
        <f>IF(Teacher_Data[[#This Row],[Completion_Status]]="Completed","Yes","No")</f>
        <v>No</v>
      </c>
      <c r="V224">
        <f>IF(Teacher_Data[[#This Row],[Completion_Status]]="Completed",1,0)</f>
        <v>0</v>
      </c>
      <c r="W224">
        <f>1</f>
        <v>1</v>
      </c>
      <c r="X224">
        <f>Teacher_Data[[#This Row],[End_Date]]-Teacher_Data[[#This Row],[Start_Date]]</f>
        <v>38</v>
      </c>
      <c r="Y224" t="str">
        <f>_xlfn.IFS(Teacher_Data[[#This Row],[Experience_Years]]&lt;=5,"0-5 Years",Teacher_Data[[#This Row],[Experience_Years]]&lt;=10,"5-10 Years",Teacher_Data[[#This Row],[Experience_Years]]&lt;=20,"11-20 Years",TRUE,"20+ Years")</f>
        <v>20+ Years</v>
      </c>
    </row>
    <row r="225" spans="1:25" x14ac:dyDescent="0.3">
      <c r="A225" t="s">
        <v>543</v>
      </c>
      <c r="B225" t="s">
        <v>308</v>
      </c>
      <c r="C225" t="s">
        <v>35</v>
      </c>
      <c r="D225">
        <v>27</v>
      </c>
      <c r="E225" t="s">
        <v>57</v>
      </c>
      <c r="F225" t="s">
        <v>100</v>
      </c>
      <c r="G225" t="s">
        <v>76</v>
      </c>
      <c r="H225" t="s">
        <v>59</v>
      </c>
      <c r="I225" t="s">
        <v>27</v>
      </c>
      <c r="J225" s="1">
        <v>45335</v>
      </c>
      <c r="K225" s="1">
        <v>45388</v>
      </c>
      <c r="L225" t="s">
        <v>60</v>
      </c>
      <c r="M225" s="2">
        <v>16</v>
      </c>
      <c r="O225" t="s">
        <v>29</v>
      </c>
      <c r="P225">
        <v>37</v>
      </c>
      <c r="Q225" t="s">
        <v>30</v>
      </c>
      <c r="R225" t="s">
        <v>41</v>
      </c>
      <c r="S225" t="s">
        <v>544</v>
      </c>
      <c r="T225">
        <v>5</v>
      </c>
      <c r="U225" t="str">
        <f>IF(Teacher_Data[[#This Row],[Completion_Status]]="Completed","Yes","No")</f>
        <v>No</v>
      </c>
      <c r="V225">
        <f>IF(Teacher_Data[[#This Row],[Completion_Status]]="Completed",1,0)</f>
        <v>0</v>
      </c>
      <c r="W225">
        <f>1</f>
        <v>1</v>
      </c>
      <c r="X225">
        <f>Teacher_Data[[#This Row],[End_Date]]-Teacher_Data[[#This Row],[Start_Date]]</f>
        <v>53</v>
      </c>
      <c r="Y225" t="str">
        <f>_xlfn.IFS(Teacher_Data[[#This Row],[Experience_Years]]&lt;=5,"0-5 Years",Teacher_Data[[#This Row],[Experience_Years]]&lt;=10,"5-10 Years",Teacher_Data[[#This Row],[Experience_Years]]&lt;=20,"11-20 Years",TRUE,"20+ Years")</f>
        <v>0-5 Years</v>
      </c>
    </row>
    <row r="226" spans="1:25" x14ac:dyDescent="0.3">
      <c r="A226" t="s">
        <v>545</v>
      </c>
      <c r="B226" t="s">
        <v>82</v>
      </c>
      <c r="C226" t="s">
        <v>35</v>
      </c>
      <c r="D226">
        <v>27</v>
      </c>
      <c r="E226" t="s">
        <v>36</v>
      </c>
      <c r="F226" t="s">
        <v>67</v>
      </c>
      <c r="G226" t="s">
        <v>45</v>
      </c>
      <c r="H226" t="s">
        <v>26</v>
      </c>
      <c r="I226" t="s">
        <v>46</v>
      </c>
      <c r="J226" s="1">
        <v>45519</v>
      </c>
      <c r="K226" s="1">
        <v>45544</v>
      </c>
      <c r="L226" t="s">
        <v>60</v>
      </c>
      <c r="M226" s="2">
        <v>12</v>
      </c>
      <c r="O226" t="s">
        <v>29</v>
      </c>
      <c r="P226">
        <v>6</v>
      </c>
      <c r="Q226" t="s">
        <v>68</v>
      </c>
      <c r="R226" t="s">
        <v>41</v>
      </c>
      <c r="S226" t="s">
        <v>546</v>
      </c>
      <c r="T226">
        <v>27</v>
      </c>
      <c r="U226" t="str">
        <f>IF(Teacher_Data[[#This Row],[Completion_Status]]="Completed","Yes","No")</f>
        <v>No</v>
      </c>
      <c r="V226">
        <f>IF(Teacher_Data[[#This Row],[Completion_Status]]="Completed",1,0)</f>
        <v>0</v>
      </c>
      <c r="W226">
        <f>1</f>
        <v>1</v>
      </c>
      <c r="X226">
        <f>Teacher_Data[[#This Row],[End_Date]]-Teacher_Data[[#This Row],[Start_Date]]</f>
        <v>25</v>
      </c>
      <c r="Y226" t="str">
        <f>_xlfn.IFS(Teacher_Data[[#This Row],[Experience_Years]]&lt;=5,"0-5 Years",Teacher_Data[[#This Row],[Experience_Years]]&lt;=10,"5-10 Years",Teacher_Data[[#This Row],[Experience_Years]]&lt;=20,"11-20 Years",TRUE,"20+ Years")</f>
        <v>20+ Years</v>
      </c>
    </row>
    <row r="227" spans="1:25" x14ac:dyDescent="0.3">
      <c r="A227" t="s">
        <v>547</v>
      </c>
      <c r="B227" t="s">
        <v>182</v>
      </c>
      <c r="C227" t="s">
        <v>35</v>
      </c>
      <c r="D227">
        <v>57</v>
      </c>
      <c r="E227" t="s">
        <v>66</v>
      </c>
      <c r="F227" t="s">
        <v>67</v>
      </c>
      <c r="G227" t="s">
        <v>76</v>
      </c>
      <c r="H227" t="s">
        <v>26</v>
      </c>
      <c r="I227" t="s">
        <v>51</v>
      </c>
      <c r="J227" s="1">
        <v>45357</v>
      </c>
      <c r="K227" s="1">
        <v>45370</v>
      </c>
      <c r="L227" t="s">
        <v>28</v>
      </c>
      <c r="M227" s="2">
        <v>58</v>
      </c>
      <c r="O227" t="s">
        <v>29</v>
      </c>
      <c r="P227">
        <v>53</v>
      </c>
      <c r="Q227" t="s">
        <v>68</v>
      </c>
      <c r="R227" t="s">
        <v>104</v>
      </c>
      <c r="S227" t="s">
        <v>548</v>
      </c>
      <c r="T227">
        <v>22</v>
      </c>
      <c r="U227" t="str">
        <f>IF(Teacher_Data[[#This Row],[Completion_Status]]="Completed","Yes","No")</f>
        <v>No</v>
      </c>
      <c r="V227">
        <f>IF(Teacher_Data[[#This Row],[Completion_Status]]="Completed",1,0)</f>
        <v>0</v>
      </c>
      <c r="W227">
        <f>1</f>
        <v>1</v>
      </c>
      <c r="X227">
        <f>Teacher_Data[[#This Row],[End_Date]]-Teacher_Data[[#This Row],[Start_Date]]</f>
        <v>13</v>
      </c>
      <c r="Y227" t="str">
        <f>_xlfn.IFS(Teacher_Data[[#This Row],[Experience_Years]]&lt;=5,"0-5 Years",Teacher_Data[[#This Row],[Experience_Years]]&lt;=10,"5-10 Years",Teacher_Data[[#This Row],[Experience_Years]]&lt;=20,"11-20 Years",TRUE,"20+ Years")</f>
        <v>20+ Years</v>
      </c>
    </row>
    <row r="228" spans="1:25" x14ac:dyDescent="0.3">
      <c r="A228" t="s">
        <v>549</v>
      </c>
      <c r="B228" t="s">
        <v>107</v>
      </c>
      <c r="C228" t="s">
        <v>22</v>
      </c>
      <c r="D228">
        <v>50</v>
      </c>
      <c r="E228" t="s">
        <v>57</v>
      </c>
      <c r="F228" t="s">
        <v>24</v>
      </c>
      <c r="G228" t="s">
        <v>25</v>
      </c>
      <c r="H228" t="s">
        <v>39</v>
      </c>
      <c r="I228" t="s">
        <v>51</v>
      </c>
      <c r="J228" s="1">
        <v>45335</v>
      </c>
      <c r="K228" s="1">
        <v>45384</v>
      </c>
      <c r="L228" t="s">
        <v>28</v>
      </c>
      <c r="M228" s="2">
        <v>57</v>
      </c>
      <c r="O228" t="s">
        <v>29</v>
      </c>
      <c r="P228">
        <v>40</v>
      </c>
      <c r="Q228" t="s">
        <v>40</v>
      </c>
      <c r="R228" t="s">
        <v>31</v>
      </c>
      <c r="S228" t="s">
        <v>550</v>
      </c>
      <c r="T228">
        <v>9</v>
      </c>
      <c r="U228" t="str">
        <f>IF(Teacher_Data[[#This Row],[Completion_Status]]="Completed","Yes","No")</f>
        <v>No</v>
      </c>
      <c r="V228">
        <f>IF(Teacher_Data[[#This Row],[Completion_Status]]="Completed",1,0)</f>
        <v>0</v>
      </c>
      <c r="W228">
        <f>1</f>
        <v>1</v>
      </c>
      <c r="X228">
        <f>Teacher_Data[[#This Row],[End_Date]]-Teacher_Data[[#This Row],[Start_Date]]</f>
        <v>49</v>
      </c>
      <c r="Y228" t="str">
        <f>_xlfn.IFS(Teacher_Data[[#This Row],[Experience_Years]]&lt;=5,"0-5 Years",Teacher_Data[[#This Row],[Experience_Years]]&lt;=10,"5-10 Years",Teacher_Data[[#This Row],[Experience_Years]]&lt;=20,"11-20 Years",TRUE,"20+ Years")</f>
        <v>5-10 Years</v>
      </c>
    </row>
    <row r="229" spans="1:25" x14ac:dyDescent="0.3">
      <c r="A229" t="s">
        <v>551</v>
      </c>
      <c r="B229" t="s">
        <v>79</v>
      </c>
      <c r="C229" t="s">
        <v>35</v>
      </c>
      <c r="D229">
        <v>58</v>
      </c>
      <c r="E229" t="s">
        <v>36</v>
      </c>
      <c r="F229" t="s">
        <v>37</v>
      </c>
      <c r="G229" t="s">
        <v>25</v>
      </c>
      <c r="H229" t="s">
        <v>39</v>
      </c>
      <c r="I229" t="s">
        <v>27</v>
      </c>
      <c r="J229" s="1">
        <v>45446</v>
      </c>
      <c r="K229" s="1">
        <v>45499</v>
      </c>
      <c r="L229" t="s">
        <v>60</v>
      </c>
      <c r="M229" s="2">
        <v>40</v>
      </c>
      <c r="O229" t="s">
        <v>29</v>
      </c>
      <c r="P229">
        <v>24</v>
      </c>
      <c r="Q229" t="s">
        <v>61</v>
      </c>
      <c r="R229" t="s">
        <v>104</v>
      </c>
      <c r="S229" t="s">
        <v>552</v>
      </c>
      <c r="T229">
        <v>6</v>
      </c>
      <c r="U229" t="str">
        <f>IF(Teacher_Data[[#This Row],[Completion_Status]]="Completed","Yes","No")</f>
        <v>No</v>
      </c>
      <c r="V229">
        <f>IF(Teacher_Data[[#This Row],[Completion_Status]]="Completed",1,0)</f>
        <v>0</v>
      </c>
      <c r="W229">
        <f>1</f>
        <v>1</v>
      </c>
      <c r="X229">
        <f>Teacher_Data[[#This Row],[End_Date]]-Teacher_Data[[#This Row],[Start_Date]]</f>
        <v>53</v>
      </c>
      <c r="Y229" t="str">
        <f>_xlfn.IFS(Teacher_Data[[#This Row],[Experience_Years]]&lt;=5,"0-5 Years",Teacher_Data[[#This Row],[Experience_Years]]&lt;=10,"5-10 Years",Teacher_Data[[#This Row],[Experience_Years]]&lt;=20,"11-20 Years",TRUE,"20+ Years")</f>
        <v>5-10 Years</v>
      </c>
    </row>
    <row r="230" spans="1:25" x14ac:dyDescent="0.3">
      <c r="A230" t="s">
        <v>553</v>
      </c>
      <c r="B230" t="s">
        <v>156</v>
      </c>
      <c r="C230" t="s">
        <v>22</v>
      </c>
      <c r="D230">
        <v>25</v>
      </c>
      <c r="E230" t="s">
        <v>57</v>
      </c>
      <c r="F230" t="s">
        <v>83</v>
      </c>
      <c r="G230" t="s">
        <v>76</v>
      </c>
      <c r="H230" t="s">
        <v>39</v>
      </c>
      <c r="I230" t="s">
        <v>51</v>
      </c>
      <c r="J230" s="1">
        <v>45492</v>
      </c>
      <c r="K230" s="1">
        <v>45533</v>
      </c>
      <c r="L230" t="s">
        <v>60</v>
      </c>
      <c r="M230" s="2">
        <v>0</v>
      </c>
      <c r="O230" t="s">
        <v>29</v>
      </c>
      <c r="P230">
        <v>42</v>
      </c>
      <c r="Q230" t="s">
        <v>40</v>
      </c>
      <c r="R230" t="s">
        <v>104</v>
      </c>
      <c r="S230" t="s">
        <v>554</v>
      </c>
      <c r="T230">
        <v>18</v>
      </c>
      <c r="U230" t="str">
        <f>IF(Teacher_Data[[#This Row],[Completion_Status]]="Completed","Yes","No")</f>
        <v>No</v>
      </c>
      <c r="V230">
        <f>IF(Teacher_Data[[#This Row],[Completion_Status]]="Completed",1,0)</f>
        <v>0</v>
      </c>
      <c r="W230">
        <f>1</f>
        <v>1</v>
      </c>
      <c r="X230">
        <f>Teacher_Data[[#This Row],[End_Date]]-Teacher_Data[[#This Row],[Start_Date]]</f>
        <v>41</v>
      </c>
      <c r="Y230" t="str">
        <f>_xlfn.IFS(Teacher_Data[[#This Row],[Experience_Years]]&lt;=5,"0-5 Years",Teacher_Data[[#This Row],[Experience_Years]]&lt;=10,"5-10 Years",Teacher_Data[[#This Row],[Experience_Years]]&lt;=20,"11-20 Years",TRUE,"20+ Years")</f>
        <v>11-20 Years</v>
      </c>
    </row>
    <row r="231" spans="1:25" x14ac:dyDescent="0.3">
      <c r="A231" t="s">
        <v>555</v>
      </c>
      <c r="B231" t="s">
        <v>107</v>
      </c>
      <c r="C231" t="s">
        <v>35</v>
      </c>
      <c r="D231">
        <v>55</v>
      </c>
      <c r="E231" t="s">
        <v>36</v>
      </c>
      <c r="F231" t="s">
        <v>37</v>
      </c>
      <c r="G231" t="s">
        <v>76</v>
      </c>
      <c r="H231" t="s">
        <v>50</v>
      </c>
      <c r="I231" t="s">
        <v>51</v>
      </c>
      <c r="J231" s="1">
        <v>45341</v>
      </c>
      <c r="K231" s="1">
        <v>45376</v>
      </c>
      <c r="L231" t="s">
        <v>52</v>
      </c>
      <c r="M231" s="2">
        <v>57</v>
      </c>
      <c r="N231">
        <v>66</v>
      </c>
      <c r="O231" t="s">
        <v>53</v>
      </c>
      <c r="P231">
        <v>12</v>
      </c>
      <c r="Q231" t="s">
        <v>68</v>
      </c>
      <c r="R231" t="s">
        <v>62</v>
      </c>
      <c r="S231" t="s">
        <v>556</v>
      </c>
      <c r="T231">
        <v>31</v>
      </c>
      <c r="U231" t="str">
        <f>IF(Teacher_Data[[#This Row],[Completion_Status]]="Completed","Yes","No")</f>
        <v>Yes</v>
      </c>
      <c r="V231">
        <f>IF(Teacher_Data[[#This Row],[Completion_Status]]="Completed",1,0)</f>
        <v>1</v>
      </c>
      <c r="W231">
        <f>1</f>
        <v>1</v>
      </c>
      <c r="X231">
        <f>Teacher_Data[[#This Row],[End_Date]]-Teacher_Data[[#This Row],[Start_Date]]</f>
        <v>35</v>
      </c>
      <c r="Y231" t="str">
        <f>_xlfn.IFS(Teacher_Data[[#This Row],[Experience_Years]]&lt;=5,"0-5 Years",Teacher_Data[[#This Row],[Experience_Years]]&lt;=10,"5-10 Years",Teacher_Data[[#This Row],[Experience_Years]]&lt;=20,"11-20 Years",TRUE,"20+ Years")</f>
        <v>20+ Years</v>
      </c>
    </row>
    <row r="232" spans="1:25" x14ac:dyDescent="0.3">
      <c r="A232" t="s">
        <v>557</v>
      </c>
      <c r="B232" t="s">
        <v>89</v>
      </c>
      <c r="C232" t="s">
        <v>22</v>
      </c>
      <c r="D232">
        <v>34</v>
      </c>
      <c r="E232" t="s">
        <v>23</v>
      </c>
      <c r="F232" t="s">
        <v>37</v>
      </c>
      <c r="G232" t="s">
        <v>25</v>
      </c>
      <c r="H232" t="s">
        <v>59</v>
      </c>
      <c r="I232" t="s">
        <v>51</v>
      </c>
      <c r="J232" s="1">
        <v>45303</v>
      </c>
      <c r="K232" s="1">
        <v>45357</v>
      </c>
      <c r="L232" t="s">
        <v>52</v>
      </c>
      <c r="M232" s="2">
        <v>64</v>
      </c>
      <c r="N232">
        <v>52</v>
      </c>
      <c r="O232" t="s">
        <v>53</v>
      </c>
      <c r="P232">
        <v>47</v>
      </c>
      <c r="Q232" t="s">
        <v>40</v>
      </c>
      <c r="R232" t="s">
        <v>72</v>
      </c>
      <c r="S232" t="s">
        <v>558</v>
      </c>
      <c r="T232">
        <v>12</v>
      </c>
      <c r="U232" t="str">
        <f>IF(Teacher_Data[[#This Row],[Completion_Status]]="Completed","Yes","No")</f>
        <v>Yes</v>
      </c>
      <c r="V232">
        <f>IF(Teacher_Data[[#This Row],[Completion_Status]]="Completed",1,0)</f>
        <v>1</v>
      </c>
      <c r="W232">
        <f>1</f>
        <v>1</v>
      </c>
      <c r="X232">
        <f>Teacher_Data[[#This Row],[End_Date]]-Teacher_Data[[#This Row],[Start_Date]]</f>
        <v>54</v>
      </c>
      <c r="Y232" t="str">
        <f>_xlfn.IFS(Teacher_Data[[#This Row],[Experience_Years]]&lt;=5,"0-5 Years",Teacher_Data[[#This Row],[Experience_Years]]&lt;=10,"5-10 Years",Teacher_Data[[#This Row],[Experience_Years]]&lt;=20,"11-20 Years",TRUE,"20+ Years")</f>
        <v>11-20 Years</v>
      </c>
    </row>
    <row r="233" spans="1:25" x14ac:dyDescent="0.3">
      <c r="A233" t="s">
        <v>559</v>
      </c>
      <c r="B233" t="s">
        <v>110</v>
      </c>
      <c r="C233" t="s">
        <v>22</v>
      </c>
      <c r="D233">
        <v>59</v>
      </c>
      <c r="E233" t="s">
        <v>66</v>
      </c>
      <c r="F233" t="s">
        <v>83</v>
      </c>
      <c r="G233" t="s">
        <v>38</v>
      </c>
      <c r="H233" t="s">
        <v>39</v>
      </c>
      <c r="I233" t="s">
        <v>46</v>
      </c>
      <c r="J233" s="1">
        <v>45559</v>
      </c>
      <c r="K233" s="1">
        <v>45596</v>
      </c>
      <c r="L233" t="s">
        <v>28</v>
      </c>
      <c r="M233" s="2">
        <v>45</v>
      </c>
      <c r="O233" t="s">
        <v>29</v>
      </c>
      <c r="P233">
        <v>9</v>
      </c>
      <c r="Q233" t="s">
        <v>40</v>
      </c>
      <c r="R233" t="s">
        <v>31</v>
      </c>
      <c r="S233" t="s">
        <v>560</v>
      </c>
      <c r="T233">
        <v>26</v>
      </c>
      <c r="U233" t="str">
        <f>IF(Teacher_Data[[#This Row],[Completion_Status]]="Completed","Yes","No")</f>
        <v>No</v>
      </c>
      <c r="V233">
        <f>IF(Teacher_Data[[#This Row],[Completion_Status]]="Completed",1,0)</f>
        <v>0</v>
      </c>
      <c r="W233">
        <f>1</f>
        <v>1</v>
      </c>
      <c r="X233">
        <f>Teacher_Data[[#This Row],[End_Date]]-Teacher_Data[[#This Row],[Start_Date]]</f>
        <v>37</v>
      </c>
      <c r="Y233" t="str">
        <f>_xlfn.IFS(Teacher_Data[[#This Row],[Experience_Years]]&lt;=5,"0-5 Years",Teacher_Data[[#This Row],[Experience_Years]]&lt;=10,"5-10 Years",Teacher_Data[[#This Row],[Experience_Years]]&lt;=20,"11-20 Years",TRUE,"20+ Years")</f>
        <v>20+ Years</v>
      </c>
    </row>
    <row r="234" spans="1:25" x14ac:dyDescent="0.3">
      <c r="A234" t="s">
        <v>561</v>
      </c>
      <c r="B234" t="s">
        <v>182</v>
      </c>
      <c r="C234" t="s">
        <v>35</v>
      </c>
      <c r="D234">
        <v>47</v>
      </c>
      <c r="E234" t="s">
        <v>23</v>
      </c>
      <c r="F234" t="s">
        <v>24</v>
      </c>
      <c r="G234" t="s">
        <v>38</v>
      </c>
      <c r="H234" t="s">
        <v>59</v>
      </c>
      <c r="I234" t="s">
        <v>27</v>
      </c>
      <c r="J234" s="1">
        <v>45531</v>
      </c>
      <c r="K234" s="1">
        <v>45547</v>
      </c>
      <c r="L234" t="s">
        <v>28</v>
      </c>
      <c r="M234" s="2">
        <v>88</v>
      </c>
      <c r="O234" t="s">
        <v>29</v>
      </c>
      <c r="P234">
        <v>25</v>
      </c>
      <c r="Q234" t="s">
        <v>40</v>
      </c>
      <c r="R234" t="s">
        <v>62</v>
      </c>
      <c r="S234" t="s">
        <v>562</v>
      </c>
      <c r="T234">
        <v>24</v>
      </c>
      <c r="U234" t="str">
        <f>IF(Teacher_Data[[#This Row],[Completion_Status]]="Completed","Yes","No")</f>
        <v>No</v>
      </c>
      <c r="V234">
        <f>IF(Teacher_Data[[#This Row],[Completion_Status]]="Completed",1,0)</f>
        <v>0</v>
      </c>
      <c r="W234">
        <f>1</f>
        <v>1</v>
      </c>
      <c r="X234">
        <f>Teacher_Data[[#This Row],[End_Date]]-Teacher_Data[[#This Row],[Start_Date]]</f>
        <v>16</v>
      </c>
      <c r="Y234" t="str">
        <f>_xlfn.IFS(Teacher_Data[[#This Row],[Experience_Years]]&lt;=5,"0-5 Years",Teacher_Data[[#This Row],[Experience_Years]]&lt;=10,"5-10 Years",Teacher_Data[[#This Row],[Experience_Years]]&lt;=20,"11-20 Years",TRUE,"20+ Years")</f>
        <v>20+ Years</v>
      </c>
    </row>
    <row r="235" spans="1:25" x14ac:dyDescent="0.3">
      <c r="A235" t="s">
        <v>563</v>
      </c>
      <c r="B235" t="s">
        <v>49</v>
      </c>
      <c r="C235" t="s">
        <v>35</v>
      </c>
      <c r="D235">
        <v>59</v>
      </c>
      <c r="E235" t="s">
        <v>36</v>
      </c>
      <c r="F235" t="s">
        <v>67</v>
      </c>
      <c r="G235" t="s">
        <v>58</v>
      </c>
      <c r="H235" t="s">
        <v>39</v>
      </c>
      <c r="I235" t="s">
        <v>46</v>
      </c>
      <c r="J235" s="1">
        <v>45576</v>
      </c>
      <c r="K235" s="1">
        <v>45620</v>
      </c>
      <c r="L235" t="s">
        <v>52</v>
      </c>
      <c r="M235" s="2">
        <v>74</v>
      </c>
      <c r="N235">
        <v>82</v>
      </c>
      <c r="O235" t="s">
        <v>53</v>
      </c>
      <c r="P235">
        <v>35</v>
      </c>
      <c r="Q235" t="s">
        <v>30</v>
      </c>
      <c r="R235" t="s">
        <v>72</v>
      </c>
      <c r="S235" t="s">
        <v>564</v>
      </c>
      <c r="T235">
        <v>14</v>
      </c>
      <c r="U235" t="str">
        <f>IF(Teacher_Data[[#This Row],[Completion_Status]]="Completed","Yes","No")</f>
        <v>Yes</v>
      </c>
      <c r="V235">
        <f>IF(Teacher_Data[[#This Row],[Completion_Status]]="Completed",1,0)</f>
        <v>1</v>
      </c>
      <c r="W235">
        <f>1</f>
        <v>1</v>
      </c>
      <c r="X235">
        <f>Teacher_Data[[#This Row],[End_Date]]-Teacher_Data[[#This Row],[Start_Date]]</f>
        <v>44</v>
      </c>
      <c r="Y235" t="str">
        <f>_xlfn.IFS(Teacher_Data[[#This Row],[Experience_Years]]&lt;=5,"0-5 Years",Teacher_Data[[#This Row],[Experience_Years]]&lt;=10,"5-10 Years",Teacher_Data[[#This Row],[Experience_Years]]&lt;=20,"11-20 Years",TRUE,"20+ Years")</f>
        <v>11-20 Years</v>
      </c>
    </row>
    <row r="236" spans="1:25" x14ac:dyDescent="0.3">
      <c r="A236" t="s">
        <v>565</v>
      </c>
      <c r="B236" t="s">
        <v>194</v>
      </c>
      <c r="C236" t="s">
        <v>22</v>
      </c>
      <c r="D236">
        <v>55</v>
      </c>
      <c r="E236" t="s">
        <v>36</v>
      </c>
      <c r="F236" t="s">
        <v>24</v>
      </c>
      <c r="G236" t="s">
        <v>25</v>
      </c>
      <c r="H236" t="s">
        <v>26</v>
      </c>
      <c r="I236" t="s">
        <v>51</v>
      </c>
      <c r="J236" s="1">
        <v>45373</v>
      </c>
      <c r="K236" s="1">
        <v>45402</v>
      </c>
      <c r="L236" t="s">
        <v>52</v>
      </c>
      <c r="M236" s="2">
        <v>42</v>
      </c>
      <c r="N236">
        <v>99</v>
      </c>
      <c r="O236" t="s">
        <v>53</v>
      </c>
      <c r="P236">
        <v>54</v>
      </c>
      <c r="Q236" t="s">
        <v>61</v>
      </c>
      <c r="R236" t="s">
        <v>31</v>
      </c>
      <c r="S236" t="s">
        <v>566</v>
      </c>
      <c r="T236">
        <v>34</v>
      </c>
      <c r="U236" t="str">
        <f>IF(Teacher_Data[[#This Row],[Completion_Status]]="Completed","Yes","No")</f>
        <v>Yes</v>
      </c>
      <c r="V236">
        <f>IF(Teacher_Data[[#This Row],[Completion_Status]]="Completed",1,0)</f>
        <v>1</v>
      </c>
      <c r="W236">
        <f>1</f>
        <v>1</v>
      </c>
      <c r="X236">
        <f>Teacher_Data[[#This Row],[End_Date]]-Teacher_Data[[#This Row],[Start_Date]]</f>
        <v>29</v>
      </c>
      <c r="Y236" t="str">
        <f>_xlfn.IFS(Teacher_Data[[#This Row],[Experience_Years]]&lt;=5,"0-5 Years",Teacher_Data[[#This Row],[Experience_Years]]&lt;=10,"5-10 Years",Teacher_Data[[#This Row],[Experience_Years]]&lt;=20,"11-20 Years",TRUE,"20+ Years")</f>
        <v>20+ Years</v>
      </c>
    </row>
    <row r="237" spans="1:25" x14ac:dyDescent="0.3">
      <c r="A237" t="s">
        <v>567</v>
      </c>
      <c r="B237" t="s">
        <v>107</v>
      </c>
      <c r="C237" t="s">
        <v>22</v>
      </c>
      <c r="D237">
        <v>48</v>
      </c>
      <c r="E237" t="s">
        <v>57</v>
      </c>
      <c r="F237" t="s">
        <v>37</v>
      </c>
      <c r="G237" t="s">
        <v>45</v>
      </c>
      <c r="H237" t="s">
        <v>39</v>
      </c>
      <c r="I237" t="s">
        <v>27</v>
      </c>
      <c r="J237" s="1">
        <v>45555</v>
      </c>
      <c r="K237" s="1">
        <v>45577</v>
      </c>
      <c r="L237" t="s">
        <v>60</v>
      </c>
      <c r="M237" s="2">
        <v>29</v>
      </c>
      <c r="O237" t="s">
        <v>29</v>
      </c>
      <c r="P237">
        <v>31</v>
      </c>
      <c r="Q237" t="s">
        <v>30</v>
      </c>
      <c r="R237" t="s">
        <v>72</v>
      </c>
      <c r="S237" t="s">
        <v>568</v>
      </c>
      <c r="T237">
        <v>8</v>
      </c>
      <c r="U237" t="str">
        <f>IF(Teacher_Data[[#This Row],[Completion_Status]]="Completed","Yes","No")</f>
        <v>No</v>
      </c>
      <c r="V237">
        <f>IF(Teacher_Data[[#This Row],[Completion_Status]]="Completed",1,0)</f>
        <v>0</v>
      </c>
      <c r="W237">
        <f>1</f>
        <v>1</v>
      </c>
      <c r="X237">
        <f>Teacher_Data[[#This Row],[End_Date]]-Teacher_Data[[#This Row],[Start_Date]]</f>
        <v>22</v>
      </c>
      <c r="Y237" t="str">
        <f>_xlfn.IFS(Teacher_Data[[#This Row],[Experience_Years]]&lt;=5,"0-5 Years",Teacher_Data[[#This Row],[Experience_Years]]&lt;=10,"5-10 Years",Teacher_Data[[#This Row],[Experience_Years]]&lt;=20,"11-20 Years",TRUE,"20+ Years")</f>
        <v>5-10 Years</v>
      </c>
    </row>
    <row r="238" spans="1:25" x14ac:dyDescent="0.3">
      <c r="A238" t="s">
        <v>569</v>
      </c>
      <c r="B238" t="s">
        <v>194</v>
      </c>
      <c r="C238" t="s">
        <v>22</v>
      </c>
      <c r="D238">
        <v>49</v>
      </c>
      <c r="E238" t="s">
        <v>36</v>
      </c>
      <c r="F238" t="s">
        <v>37</v>
      </c>
      <c r="G238" t="s">
        <v>58</v>
      </c>
      <c r="H238" t="s">
        <v>26</v>
      </c>
      <c r="I238" t="s">
        <v>27</v>
      </c>
      <c r="J238" s="1">
        <v>45566</v>
      </c>
      <c r="K238" s="1">
        <v>45572</v>
      </c>
      <c r="L238" t="s">
        <v>60</v>
      </c>
      <c r="M238" s="2">
        <v>3</v>
      </c>
      <c r="O238" t="s">
        <v>29</v>
      </c>
      <c r="P238">
        <v>44</v>
      </c>
      <c r="Q238" t="s">
        <v>61</v>
      </c>
      <c r="R238" t="s">
        <v>62</v>
      </c>
      <c r="S238" t="s">
        <v>570</v>
      </c>
      <c r="T238">
        <v>6</v>
      </c>
      <c r="U238" t="str">
        <f>IF(Teacher_Data[[#This Row],[Completion_Status]]="Completed","Yes","No")</f>
        <v>No</v>
      </c>
      <c r="V238">
        <f>IF(Teacher_Data[[#This Row],[Completion_Status]]="Completed",1,0)</f>
        <v>0</v>
      </c>
      <c r="W238">
        <f>1</f>
        <v>1</v>
      </c>
      <c r="X238">
        <f>Teacher_Data[[#This Row],[End_Date]]-Teacher_Data[[#This Row],[Start_Date]]</f>
        <v>6</v>
      </c>
      <c r="Y238" t="str">
        <f>_xlfn.IFS(Teacher_Data[[#This Row],[Experience_Years]]&lt;=5,"0-5 Years",Teacher_Data[[#This Row],[Experience_Years]]&lt;=10,"5-10 Years",Teacher_Data[[#This Row],[Experience_Years]]&lt;=20,"11-20 Years",TRUE,"20+ Years")</f>
        <v>5-10 Years</v>
      </c>
    </row>
    <row r="239" spans="1:25" x14ac:dyDescent="0.3">
      <c r="A239" t="s">
        <v>571</v>
      </c>
      <c r="B239" t="s">
        <v>71</v>
      </c>
      <c r="C239" t="s">
        <v>22</v>
      </c>
      <c r="D239">
        <v>36</v>
      </c>
      <c r="E239" t="s">
        <v>57</v>
      </c>
      <c r="F239" t="s">
        <v>24</v>
      </c>
      <c r="G239" t="s">
        <v>45</v>
      </c>
      <c r="H239" t="s">
        <v>39</v>
      </c>
      <c r="I239" t="s">
        <v>46</v>
      </c>
      <c r="J239" s="1">
        <v>45520</v>
      </c>
      <c r="K239" s="1">
        <v>45573</v>
      </c>
      <c r="L239" t="s">
        <v>60</v>
      </c>
      <c r="M239" s="2">
        <v>10</v>
      </c>
      <c r="O239" t="s">
        <v>29</v>
      </c>
      <c r="P239">
        <v>32</v>
      </c>
      <c r="Q239" t="s">
        <v>61</v>
      </c>
      <c r="R239" t="s">
        <v>104</v>
      </c>
      <c r="S239" t="s">
        <v>572</v>
      </c>
      <c r="T239">
        <v>1</v>
      </c>
      <c r="U239" t="str">
        <f>IF(Teacher_Data[[#This Row],[Completion_Status]]="Completed","Yes","No")</f>
        <v>No</v>
      </c>
      <c r="V239">
        <f>IF(Teacher_Data[[#This Row],[Completion_Status]]="Completed",1,0)</f>
        <v>0</v>
      </c>
      <c r="W239">
        <f>1</f>
        <v>1</v>
      </c>
      <c r="X239">
        <f>Teacher_Data[[#This Row],[End_Date]]-Teacher_Data[[#This Row],[Start_Date]]</f>
        <v>53</v>
      </c>
      <c r="Y239" t="str">
        <f>_xlfn.IFS(Teacher_Data[[#This Row],[Experience_Years]]&lt;=5,"0-5 Years",Teacher_Data[[#This Row],[Experience_Years]]&lt;=10,"5-10 Years",Teacher_Data[[#This Row],[Experience_Years]]&lt;=20,"11-20 Years",TRUE,"20+ Years")</f>
        <v>0-5 Years</v>
      </c>
    </row>
    <row r="240" spans="1:25" x14ac:dyDescent="0.3">
      <c r="A240" t="s">
        <v>573</v>
      </c>
      <c r="B240" t="s">
        <v>65</v>
      </c>
      <c r="C240" t="s">
        <v>35</v>
      </c>
      <c r="D240">
        <v>29</v>
      </c>
      <c r="E240" t="s">
        <v>36</v>
      </c>
      <c r="F240" t="s">
        <v>24</v>
      </c>
      <c r="G240" t="s">
        <v>45</v>
      </c>
      <c r="H240" t="s">
        <v>50</v>
      </c>
      <c r="I240" t="s">
        <v>46</v>
      </c>
      <c r="J240" s="1">
        <v>45494</v>
      </c>
      <c r="K240" s="1">
        <v>45554</v>
      </c>
      <c r="L240" t="s">
        <v>52</v>
      </c>
      <c r="M240" s="2">
        <v>87</v>
      </c>
      <c r="N240">
        <v>65</v>
      </c>
      <c r="O240" t="s">
        <v>53</v>
      </c>
      <c r="P240">
        <v>52</v>
      </c>
      <c r="Q240" t="s">
        <v>68</v>
      </c>
      <c r="R240" t="s">
        <v>62</v>
      </c>
      <c r="S240" t="s">
        <v>574</v>
      </c>
      <c r="T240">
        <v>11</v>
      </c>
      <c r="U240" t="str">
        <f>IF(Teacher_Data[[#This Row],[Completion_Status]]="Completed","Yes","No")</f>
        <v>Yes</v>
      </c>
      <c r="V240">
        <f>IF(Teacher_Data[[#This Row],[Completion_Status]]="Completed",1,0)</f>
        <v>1</v>
      </c>
      <c r="W240">
        <f>1</f>
        <v>1</v>
      </c>
      <c r="X240">
        <f>Teacher_Data[[#This Row],[End_Date]]-Teacher_Data[[#This Row],[Start_Date]]</f>
        <v>60</v>
      </c>
      <c r="Y240" t="str">
        <f>_xlfn.IFS(Teacher_Data[[#This Row],[Experience_Years]]&lt;=5,"0-5 Years",Teacher_Data[[#This Row],[Experience_Years]]&lt;=10,"5-10 Years",Teacher_Data[[#This Row],[Experience_Years]]&lt;=20,"11-20 Years",TRUE,"20+ Years")</f>
        <v>11-20 Years</v>
      </c>
    </row>
    <row r="241" spans="1:25" x14ac:dyDescent="0.3">
      <c r="A241" t="s">
        <v>575</v>
      </c>
      <c r="B241" t="s">
        <v>71</v>
      </c>
      <c r="C241" t="s">
        <v>35</v>
      </c>
      <c r="D241">
        <v>56</v>
      </c>
      <c r="E241" t="s">
        <v>66</v>
      </c>
      <c r="F241" t="s">
        <v>100</v>
      </c>
      <c r="G241" t="s">
        <v>45</v>
      </c>
      <c r="H241" t="s">
        <v>26</v>
      </c>
      <c r="I241" t="s">
        <v>51</v>
      </c>
      <c r="J241" s="1">
        <v>45367</v>
      </c>
      <c r="K241" s="1">
        <v>45390</v>
      </c>
      <c r="L241" t="s">
        <v>52</v>
      </c>
      <c r="M241" s="2">
        <v>53</v>
      </c>
      <c r="N241">
        <v>99</v>
      </c>
      <c r="O241" t="s">
        <v>53</v>
      </c>
      <c r="P241">
        <v>18</v>
      </c>
      <c r="Q241" t="s">
        <v>40</v>
      </c>
      <c r="R241" t="s">
        <v>31</v>
      </c>
      <c r="S241" t="s">
        <v>576</v>
      </c>
      <c r="T241">
        <v>9</v>
      </c>
      <c r="U241" t="str">
        <f>IF(Teacher_Data[[#This Row],[Completion_Status]]="Completed","Yes","No")</f>
        <v>Yes</v>
      </c>
      <c r="V241">
        <f>IF(Teacher_Data[[#This Row],[Completion_Status]]="Completed",1,0)</f>
        <v>1</v>
      </c>
      <c r="W241">
        <f>1</f>
        <v>1</v>
      </c>
      <c r="X241">
        <f>Teacher_Data[[#This Row],[End_Date]]-Teacher_Data[[#This Row],[Start_Date]]</f>
        <v>23</v>
      </c>
      <c r="Y241" t="str">
        <f>_xlfn.IFS(Teacher_Data[[#This Row],[Experience_Years]]&lt;=5,"0-5 Years",Teacher_Data[[#This Row],[Experience_Years]]&lt;=10,"5-10 Years",Teacher_Data[[#This Row],[Experience_Years]]&lt;=20,"11-20 Years",TRUE,"20+ Years")</f>
        <v>5-10 Years</v>
      </c>
    </row>
    <row r="242" spans="1:25" x14ac:dyDescent="0.3">
      <c r="A242" t="s">
        <v>577</v>
      </c>
      <c r="B242" t="s">
        <v>94</v>
      </c>
      <c r="C242" t="s">
        <v>22</v>
      </c>
      <c r="D242">
        <v>25</v>
      </c>
      <c r="E242" t="s">
        <v>36</v>
      </c>
      <c r="F242" t="s">
        <v>100</v>
      </c>
      <c r="G242" t="s">
        <v>45</v>
      </c>
      <c r="H242" t="s">
        <v>59</v>
      </c>
      <c r="I242" t="s">
        <v>46</v>
      </c>
      <c r="J242" s="1">
        <v>45498</v>
      </c>
      <c r="K242" s="1">
        <v>45518</v>
      </c>
      <c r="L242" t="s">
        <v>60</v>
      </c>
      <c r="M242" s="2">
        <v>38</v>
      </c>
      <c r="O242" t="s">
        <v>29</v>
      </c>
      <c r="P242">
        <v>18</v>
      </c>
      <c r="Q242" t="s">
        <v>68</v>
      </c>
      <c r="R242" t="s">
        <v>31</v>
      </c>
      <c r="S242" t="s">
        <v>578</v>
      </c>
      <c r="T242">
        <v>4</v>
      </c>
      <c r="U242" t="str">
        <f>IF(Teacher_Data[[#This Row],[Completion_Status]]="Completed","Yes","No")</f>
        <v>No</v>
      </c>
      <c r="V242">
        <f>IF(Teacher_Data[[#This Row],[Completion_Status]]="Completed",1,0)</f>
        <v>0</v>
      </c>
      <c r="W242">
        <f>1</f>
        <v>1</v>
      </c>
      <c r="X242">
        <f>Teacher_Data[[#This Row],[End_Date]]-Teacher_Data[[#This Row],[Start_Date]]</f>
        <v>20</v>
      </c>
      <c r="Y242" t="str">
        <f>_xlfn.IFS(Teacher_Data[[#This Row],[Experience_Years]]&lt;=5,"0-5 Years",Teacher_Data[[#This Row],[Experience_Years]]&lt;=10,"5-10 Years",Teacher_Data[[#This Row],[Experience_Years]]&lt;=20,"11-20 Years",TRUE,"20+ Years")</f>
        <v>0-5 Years</v>
      </c>
    </row>
    <row r="243" spans="1:25" x14ac:dyDescent="0.3">
      <c r="A243" t="s">
        <v>579</v>
      </c>
      <c r="B243" t="s">
        <v>167</v>
      </c>
      <c r="C243" t="s">
        <v>22</v>
      </c>
      <c r="D243">
        <v>31</v>
      </c>
      <c r="E243" t="s">
        <v>36</v>
      </c>
      <c r="F243" t="s">
        <v>83</v>
      </c>
      <c r="G243" t="s">
        <v>58</v>
      </c>
      <c r="H243" t="s">
        <v>50</v>
      </c>
      <c r="I243" t="s">
        <v>46</v>
      </c>
      <c r="J243" s="1">
        <v>45435</v>
      </c>
      <c r="K243" s="1">
        <v>45473</v>
      </c>
      <c r="L243" t="s">
        <v>28</v>
      </c>
      <c r="M243" s="2">
        <v>70</v>
      </c>
      <c r="O243" t="s">
        <v>29</v>
      </c>
      <c r="P243">
        <v>19</v>
      </c>
      <c r="Q243" t="s">
        <v>61</v>
      </c>
      <c r="R243" t="s">
        <v>62</v>
      </c>
      <c r="S243" t="s">
        <v>580</v>
      </c>
      <c r="T243">
        <v>19</v>
      </c>
      <c r="U243" t="str">
        <f>IF(Teacher_Data[[#This Row],[Completion_Status]]="Completed","Yes","No")</f>
        <v>No</v>
      </c>
      <c r="V243">
        <f>IF(Teacher_Data[[#This Row],[Completion_Status]]="Completed",1,0)</f>
        <v>0</v>
      </c>
      <c r="W243">
        <f>1</f>
        <v>1</v>
      </c>
      <c r="X243">
        <f>Teacher_Data[[#This Row],[End_Date]]-Teacher_Data[[#This Row],[Start_Date]]</f>
        <v>38</v>
      </c>
      <c r="Y243" t="str">
        <f>_xlfn.IFS(Teacher_Data[[#This Row],[Experience_Years]]&lt;=5,"0-5 Years",Teacher_Data[[#This Row],[Experience_Years]]&lt;=10,"5-10 Years",Teacher_Data[[#This Row],[Experience_Years]]&lt;=20,"11-20 Years",TRUE,"20+ Years")</f>
        <v>11-20 Years</v>
      </c>
    </row>
    <row r="244" spans="1:25" x14ac:dyDescent="0.3">
      <c r="A244" t="s">
        <v>581</v>
      </c>
      <c r="B244" t="s">
        <v>21</v>
      </c>
      <c r="C244" t="s">
        <v>22</v>
      </c>
      <c r="D244">
        <v>36</v>
      </c>
      <c r="E244" t="s">
        <v>57</v>
      </c>
      <c r="F244" t="s">
        <v>24</v>
      </c>
      <c r="G244" t="s">
        <v>76</v>
      </c>
      <c r="H244" t="s">
        <v>50</v>
      </c>
      <c r="I244" t="s">
        <v>46</v>
      </c>
      <c r="J244" s="1">
        <v>45400</v>
      </c>
      <c r="K244" s="1">
        <v>45418</v>
      </c>
      <c r="L244" t="s">
        <v>52</v>
      </c>
      <c r="M244" s="2">
        <v>92</v>
      </c>
      <c r="N244">
        <v>75</v>
      </c>
      <c r="O244" t="s">
        <v>53</v>
      </c>
      <c r="P244">
        <v>9</v>
      </c>
      <c r="Q244" t="s">
        <v>40</v>
      </c>
      <c r="R244" t="s">
        <v>104</v>
      </c>
      <c r="S244" t="s">
        <v>582</v>
      </c>
      <c r="T244">
        <v>7</v>
      </c>
      <c r="U244" t="str">
        <f>IF(Teacher_Data[[#This Row],[Completion_Status]]="Completed","Yes","No")</f>
        <v>Yes</v>
      </c>
      <c r="V244">
        <f>IF(Teacher_Data[[#This Row],[Completion_Status]]="Completed",1,0)</f>
        <v>1</v>
      </c>
      <c r="W244">
        <f>1</f>
        <v>1</v>
      </c>
      <c r="X244">
        <f>Teacher_Data[[#This Row],[End_Date]]-Teacher_Data[[#This Row],[Start_Date]]</f>
        <v>18</v>
      </c>
      <c r="Y244" t="str">
        <f>_xlfn.IFS(Teacher_Data[[#This Row],[Experience_Years]]&lt;=5,"0-5 Years",Teacher_Data[[#This Row],[Experience_Years]]&lt;=10,"5-10 Years",Teacher_Data[[#This Row],[Experience_Years]]&lt;=20,"11-20 Years",TRUE,"20+ Years")</f>
        <v>5-10 Years</v>
      </c>
    </row>
    <row r="245" spans="1:25" x14ac:dyDescent="0.3">
      <c r="A245" t="s">
        <v>583</v>
      </c>
      <c r="B245" t="s">
        <v>103</v>
      </c>
      <c r="C245" t="s">
        <v>22</v>
      </c>
      <c r="D245">
        <v>41</v>
      </c>
      <c r="E245" t="s">
        <v>23</v>
      </c>
      <c r="F245" t="s">
        <v>67</v>
      </c>
      <c r="G245" t="s">
        <v>58</v>
      </c>
      <c r="H245" t="s">
        <v>59</v>
      </c>
      <c r="I245" t="s">
        <v>46</v>
      </c>
      <c r="J245" s="1">
        <v>45524</v>
      </c>
      <c r="K245" s="1">
        <v>45535</v>
      </c>
      <c r="L245" t="s">
        <v>28</v>
      </c>
      <c r="M245" s="2">
        <v>73</v>
      </c>
      <c r="O245" t="s">
        <v>29</v>
      </c>
      <c r="P245">
        <v>28</v>
      </c>
      <c r="Q245" t="s">
        <v>40</v>
      </c>
      <c r="R245" t="s">
        <v>41</v>
      </c>
      <c r="S245" t="s">
        <v>584</v>
      </c>
      <c r="T245">
        <v>33</v>
      </c>
      <c r="U245" t="str">
        <f>IF(Teacher_Data[[#This Row],[Completion_Status]]="Completed","Yes","No")</f>
        <v>No</v>
      </c>
      <c r="V245">
        <f>IF(Teacher_Data[[#This Row],[Completion_Status]]="Completed",1,0)</f>
        <v>0</v>
      </c>
      <c r="W245">
        <f>1</f>
        <v>1</v>
      </c>
      <c r="X245">
        <f>Teacher_Data[[#This Row],[End_Date]]-Teacher_Data[[#This Row],[Start_Date]]</f>
        <v>11</v>
      </c>
      <c r="Y245" t="str">
        <f>_xlfn.IFS(Teacher_Data[[#This Row],[Experience_Years]]&lt;=5,"0-5 Years",Teacher_Data[[#This Row],[Experience_Years]]&lt;=10,"5-10 Years",Teacher_Data[[#This Row],[Experience_Years]]&lt;=20,"11-20 Years",TRUE,"20+ Years")</f>
        <v>20+ Years</v>
      </c>
    </row>
    <row r="246" spans="1:25" x14ac:dyDescent="0.3">
      <c r="A246" t="s">
        <v>585</v>
      </c>
      <c r="B246" t="s">
        <v>176</v>
      </c>
      <c r="C246" t="s">
        <v>35</v>
      </c>
      <c r="D246">
        <v>35</v>
      </c>
      <c r="E246" t="s">
        <v>57</v>
      </c>
      <c r="F246" t="s">
        <v>83</v>
      </c>
      <c r="G246" t="s">
        <v>38</v>
      </c>
      <c r="H246" t="s">
        <v>26</v>
      </c>
      <c r="I246" t="s">
        <v>51</v>
      </c>
      <c r="J246" s="1">
        <v>45403</v>
      </c>
      <c r="K246" s="1">
        <v>45414</v>
      </c>
      <c r="L246" t="s">
        <v>52</v>
      </c>
      <c r="M246" s="2">
        <v>53</v>
      </c>
      <c r="N246">
        <v>93</v>
      </c>
      <c r="O246" t="s">
        <v>53</v>
      </c>
      <c r="P246">
        <v>49</v>
      </c>
      <c r="Q246" t="s">
        <v>68</v>
      </c>
      <c r="R246" t="s">
        <v>31</v>
      </c>
      <c r="S246" t="s">
        <v>586</v>
      </c>
      <c r="T246">
        <v>6</v>
      </c>
      <c r="U246" t="str">
        <f>IF(Teacher_Data[[#This Row],[Completion_Status]]="Completed","Yes","No")</f>
        <v>Yes</v>
      </c>
      <c r="V246">
        <f>IF(Teacher_Data[[#This Row],[Completion_Status]]="Completed",1,0)</f>
        <v>1</v>
      </c>
      <c r="W246">
        <f>1</f>
        <v>1</v>
      </c>
      <c r="X246">
        <f>Teacher_Data[[#This Row],[End_Date]]-Teacher_Data[[#This Row],[Start_Date]]</f>
        <v>11</v>
      </c>
      <c r="Y246" t="str">
        <f>_xlfn.IFS(Teacher_Data[[#This Row],[Experience_Years]]&lt;=5,"0-5 Years",Teacher_Data[[#This Row],[Experience_Years]]&lt;=10,"5-10 Years",Teacher_Data[[#This Row],[Experience_Years]]&lt;=20,"11-20 Years",TRUE,"20+ Years")</f>
        <v>5-10 Years</v>
      </c>
    </row>
    <row r="247" spans="1:25" x14ac:dyDescent="0.3">
      <c r="A247" t="s">
        <v>587</v>
      </c>
      <c r="B247" t="s">
        <v>176</v>
      </c>
      <c r="C247" t="s">
        <v>22</v>
      </c>
      <c r="D247">
        <v>41</v>
      </c>
      <c r="E247" t="s">
        <v>66</v>
      </c>
      <c r="F247" t="s">
        <v>37</v>
      </c>
      <c r="G247" t="s">
        <v>25</v>
      </c>
      <c r="H247" t="s">
        <v>26</v>
      </c>
      <c r="I247" t="s">
        <v>51</v>
      </c>
      <c r="J247" s="1">
        <v>45480</v>
      </c>
      <c r="K247" s="1">
        <v>45534</v>
      </c>
      <c r="L247" t="s">
        <v>52</v>
      </c>
      <c r="M247" s="2">
        <v>99</v>
      </c>
      <c r="N247">
        <v>53</v>
      </c>
      <c r="O247" t="s">
        <v>53</v>
      </c>
      <c r="P247">
        <v>33</v>
      </c>
      <c r="Q247" t="s">
        <v>68</v>
      </c>
      <c r="R247" t="s">
        <v>41</v>
      </c>
      <c r="S247" t="s">
        <v>588</v>
      </c>
      <c r="T247">
        <v>2</v>
      </c>
      <c r="U247" t="str">
        <f>IF(Teacher_Data[[#This Row],[Completion_Status]]="Completed","Yes","No")</f>
        <v>Yes</v>
      </c>
      <c r="V247">
        <f>IF(Teacher_Data[[#This Row],[Completion_Status]]="Completed",1,0)</f>
        <v>1</v>
      </c>
      <c r="W247">
        <f>1</f>
        <v>1</v>
      </c>
      <c r="X247">
        <f>Teacher_Data[[#This Row],[End_Date]]-Teacher_Data[[#This Row],[Start_Date]]</f>
        <v>54</v>
      </c>
      <c r="Y247" t="str">
        <f>_xlfn.IFS(Teacher_Data[[#This Row],[Experience_Years]]&lt;=5,"0-5 Years",Teacher_Data[[#This Row],[Experience_Years]]&lt;=10,"5-10 Years",Teacher_Data[[#This Row],[Experience_Years]]&lt;=20,"11-20 Years",TRUE,"20+ Years")</f>
        <v>0-5 Years</v>
      </c>
    </row>
    <row r="248" spans="1:25" x14ac:dyDescent="0.3">
      <c r="A248" t="s">
        <v>589</v>
      </c>
      <c r="B248" t="s">
        <v>86</v>
      </c>
      <c r="C248" t="s">
        <v>35</v>
      </c>
      <c r="D248">
        <v>38</v>
      </c>
      <c r="E248" t="s">
        <v>36</v>
      </c>
      <c r="F248" t="s">
        <v>37</v>
      </c>
      <c r="G248" t="s">
        <v>58</v>
      </c>
      <c r="H248" t="s">
        <v>59</v>
      </c>
      <c r="I248" t="s">
        <v>51</v>
      </c>
      <c r="J248" s="1">
        <v>45295</v>
      </c>
      <c r="K248" s="1">
        <v>45339</v>
      </c>
      <c r="L248" t="s">
        <v>52</v>
      </c>
      <c r="M248" s="2">
        <v>59</v>
      </c>
      <c r="N248">
        <v>74</v>
      </c>
      <c r="O248" t="s">
        <v>53</v>
      </c>
      <c r="P248">
        <v>52</v>
      </c>
      <c r="Q248" t="s">
        <v>61</v>
      </c>
      <c r="R248" t="s">
        <v>31</v>
      </c>
      <c r="S248" t="s">
        <v>590</v>
      </c>
      <c r="T248">
        <v>16</v>
      </c>
      <c r="U248" t="str">
        <f>IF(Teacher_Data[[#This Row],[Completion_Status]]="Completed","Yes","No")</f>
        <v>Yes</v>
      </c>
      <c r="V248">
        <f>IF(Teacher_Data[[#This Row],[Completion_Status]]="Completed",1,0)</f>
        <v>1</v>
      </c>
      <c r="W248">
        <f>1</f>
        <v>1</v>
      </c>
      <c r="X248">
        <f>Teacher_Data[[#This Row],[End_Date]]-Teacher_Data[[#This Row],[Start_Date]]</f>
        <v>44</v>
      </c>
      <c r="Y248" t="str">
        <f>_xlfn.IFS(Teacher_Data[[#This Row],[Experience_Years]]&lt;=5,"0-5 Years",Teacher_Data[[#This Row],[Experience_Years]]&lt;=10,"5-10 Years",Teacher_Data[[#This Row],[Experience_Years]]&lt;=20,"11-20 Years",TRUE,"20+ Years")</f>
        <v>11-20 Years</v>
      </c>
    </row>
    <row r="249" spans="1:25" x14ac:dyDescent="0.3">
      <c r="A249" t="s">
        <v>591</v>
      </c>
      <c r="B249" t="s">
        <v>56</v>
      </c>
      <c r="C249" t="s">
        <v>22</v>
      </c>
      <c r="D249">
        <v>41</v>
      </c>
      <c r="E249" t="s">
        <v>66</v>
      </c>
      <c r="F249" t="s">
        <v>100</v>
      </c>
      <c r="G249" t="s">
        <v>38</v>
      </c>
      <c r="H249" t="s">
        <v>26</v>
      </c>
      <c r="I249" t="s">
        <v>27</v>
      </c>
      <c r="J249" s="1">
        <v>45563</v>
      </c>
      <c r="K249" s="1">
        <v>45618</v>
      </c>
      <c r="L249" t="s">
        <v>28</v>
      </c>
      <c r="M249" s="2">
        <v>72</v>
      </c>
      <c r="O249" t="s">
        <v>29</v>
      </c>
      <c r="P249">
        <v>28</v>
      </c>
      <c r="Q249" t="s">
        <v>30</v>
      </c>
      <c r="R249" t="s">
        <v>104</v>
      </c>
      <c r="S249" t="s">
        <v>592</v>
      </c>
      <c r="T249">
        <v>4</v>
      </c>
      <c r="U249" t="str">
        <f>IF(Teacher_Data[[#This Row],[Completion_Status]]="Completed","Yes","No")</f>
        <v>No</v>
      </c>
      <c r="V249">
        <f>IF(Teacher_Data[[#This Row],[Completion_Status]]="Completed",1,0)</f>
        <v>0</v>
      </c>
      <c r="W249">
        <f>1</f>
        <v>1</v>
      </c>
      <c r="X249">
        <f>Teacher_Data[[#This Row],[End_Date]]-Teacher_Data[[#This Row],[Start_Date]]</f>
        <v>55</v>
      </c>
      <c r="Y249" t="str">
        <f>_xlfn.IFS(Teacher_Data[[#This Row],[Experience_Years]]&lt;=5,"0-5 Years",Teacher_Data[[#This Row],[Experience_Years]]&lt;=10,"5-10 Years",Teacher_Data[[#This Row],[Experience_Years]]&lt;=20,"11-20 Years",TRUE,"20+ Years")</f>
        <v>0-5 Years</v>
      </c>
    </row>
    <row r="250" spans="1:25" x14ac:dyDescent="0.3">
      <c r="A250" t="s">
        <v>593</v>
      </c>
      <c r="B250" t="s">
        <v>308</v>
      </c>
      <c r="C250" t="s">
        <v>22</v>
      </c>
      <c r="D250">
        <v>43</v>
      </c>
      <c r="E250" t="s">
        <v>57</v>
      </c>
      <c r="F250" t="s">
        <v>83</v>
      </c>
      <c r="G250" t="s">
        <v>38</v>
      </c>
      <c r="H250" t="s">
        <v>50</v>
      </c>
      <c r="I250" t="s">
        <v>46</v>
      </c>
      <c r="J250" s="1">
        <v>45357</v>
      </c>
      <c r="K250" s="1">
        <v>45375</v>
      </c>
      <c r="L250" t="s">
        <v>28</v>
      </c>
      <c r="M250" s="2">
        <v>72</v>
      </c>
      <c r="O250" t="s">
        <v>29</v>
      </c>
      <c r="P250">
        <v>16</v>
      </c>
      <c r="Q250" t="s">
        <v>30</v>
      </c>
      <c r="R250" t="s">
        <v>104</v>
      </c>
      <c r="S250" t="s">
        <v>594</v>
      </c>
      <c r="T250">
        <v>12</v>
      </c>
      <c r="U250" t="str">
        <f>IF(Teacher_Data[[#This Row],[Completion_Status]]="Completed","Yes","No")</f>
        <v>No</v>
      </c>
      <c r="V250">
        <f>IF(Teacher_Data[[#This Row],[Completion_Status]]="Completed",1,0)</f>
        <v>0</v>
      </c>
      <c r="W250">
        <f>1</f>
        <v>1</v>
      </c>
      <c r="X250">
        <f>Teacher_Data[[#This Row],[End_Date]]-Teacher_Data[[#This Row],[Start_Date]]</f>
        <v>18</v>
      </c>
      <c r="Y250" t="str">
        <f>_xlfn.IFS(Teacher_Data[[#This Row],[Experience_Years]]&lt;=5,"0-5 Years",Teacher_Data[[#This Row],[Experience_Years]]&lt;=10,"5-10 Years",Teacher_Data[[#This Row],[Experience_Years]]&lt;=20,"11-20 Years",TRUE,"20+ Years")</f>
        <v>11-20 Years</v>
      </c>
    </row>
    <row r="251" spans="1:25" x14ac:dyDescent="0.3">
      <c r="A251" t="s">
        <v>595</v>
      </c>
      <c r="B251" t="s">
        <v>214</v>
      </c>
      <c r="C251" t="s">
        <v>35</v>
      </c>
      <c r="D251">
        <v>41</v>
      </c>
      <c r="E251" t="s">
        <v>66</v>
      </c>
      <c r="F251" t="s">
        <v>100</v>
      </c>
      <c r="G251" t="s">
        <v>25</v>
      </c>
      <c r="H251" t="s">
        <v>50</v>
      </c>
      <c r="I251" t="s">
        <v>27</v>
      </c>
      <c r="J251" s="1">
        <v>45310</v>
      </c>
      <c r="K251" s="1">
        <v>45354</v>
      </c>
      <c r="L251" t="s">
        <v>52</v>
      </c>
      <c r="M251" s="2">
        <v>49</v>
      </c>
      <c r="N251">
        <v>80</v>
      </c>
      <c r="O251" t="s">
        <v>53</v>
      </c>
      <c r="P251">
        <v>21</v>
      </c>
      <c r="Q251" t="s">
        <v>30</v>
      </c>
      <c r="R251" t="s">
        <v>72</v>
      </c>
      <c r="S251" t="s">
        <v>596</v>
      </c>
      <c r="T251">
        <v>9</v>
      </c>
      <c r="U251" t="str">
        <f>IF(Teacher_Data[[#This Row],[Completion_Status]]="Completed","Yes","No")</f>
        <v>Yes</v>
      </c>
      <c r="V251">
        <f>IF(Teacher_Data[[#This Row],[Completion_Status]]="Completed",1,0)</f>
        <v>1</v>
      </c>
      <c r="W251">
        <f>1</f>
        <v>1</v>
      </c>
      <c r="X251">
        <f>Teacher_Data[[#This Row],[End_Date]]-Teacher_Data[[#This Row],[Start_Date]]</f>
        <v>44</v>
      </c>
      <c r="Y251" t="str">
        <f>_xlfn.IFS(Teacher_Data[[#This Row],[Experience_Years]]&lt;=5,"0-5 Years",Teacher_Data[[#This Row],[Experience_Years]]&lt;=10,"5-10 Years",Teacher_Data[[#This Row],[Experience_Years]]&lt;=20,"11-20 Years",TRUE,"20+ Years")</f>
        <v>5-10 Years</v>
      </c>
    </row>
    <row r="252" spans="1:25" x14ac:dyDescent="0.3">
      <c r="A252" t="s">
        <v>597</v>
      </c>
      <c r="B252" t="s">
        <v>99</v>
      </c>
      <c r="C252" t="s">
        <v>22</v>
      </c>
      <c r="D252">
        <v>51</v>
      </c>
      <c r="E252" t="s">
        <v>66</v>
      </c>
      <c r="F252" t="s">
        <v>37</v>
      </c>
      <c r="G252" t="s">
        <v>58</v>
      </c>
      <c r="H252" t="s">
        <v>50</v>
      </c>
      <c r="I252" t="s">
        <v>46</v>
      </c>
      <c r="J252" s="1">
        <v>45513</v>
      </c>
      <c r="K252" s="1">
        <v>45520</v>
      </c>
      <c r="L252" t="s">
        <v>52</v>
      </c>
      <c r="M252" s="2">
        <v>68</v>
      </c>
      <c r="N252">
        <v>86</v>
      </c>
      <c r="O252" t="s">
        <v>53</v>
      </c>
      <c r="P252">
        <v>7</v>
      </c>
      <c r="Q252" t="s">
        <v>30</v>
      </c>
      <c r="R252" t="s">
        <v>62</v>
      </c>
      <c r="S252" t="s">
        <v>598</v>
      </c>
      <c r="T252">
        <v>35</v>
      </c>
      <c r="U252" t="str">
        <f>IF(Teacher_Data[[#This Row],[Completion_Status]]="Completed","Yes","No")</f>
        <v>Yes</v>
      </c>
      <c r="V252">
        <f>IF(Teacher_Data[[#This Row],[Completion_Status]]="Completed",1,0)</f>
        <v>1</v>
      </c>
      <c r="W252">
        <f>1</f>
        <v>1</v>
      </c>
      <c r="X252">
        <f>Teacher_Data[[#This Row],[End_Date]]-Teacher_Data[[#This Row],[Start_Date]]</f>
        <v>7</v>
      </c>
      <c r="Y252" t="str">
        <f>_xlfn.IFS(Teacher_Data[[#This Row],[Experience_Years]]&lt;=5,"0-5 Years",Teacher_Data[[#This Row],[Experience_Years]]&lt;=10,"5-10 Years",Teacher_Data[[#This Row],[Experience_Years]]&lt;=20,"11-20 Years",TRUE,"20+ Years")</f>
        <v>20+ Years</v>
      </c>
    </row>
    <row r="253" spans="1:25" x14ac:dyDescent="0.3">
      <c r="A253" t="s">
        <v>599</v>
      </c>
      <c r="B253" t="s">
        <v>115</v>
      </c>
      <c r="C253" t="s">
        <v>22</v>
      </c>
      <c r="D253">
        <v>44</v>
      </c>
      <c r="E253" t="s">
        <v>66</v>
      </c>
      <c r="F253" t="s">
        <v>100</v>
      </c>
      <c r="G253" t="s">
        <v>25</v>
      </c>
      <c r="H253" t="s">
        <v>59</v>
      </c>
      <c r="I253" t="s">
        <v>27</v>
      </c>
      <c r="J253" s="1">
        <v>45321</v>
      </c>
      <c r="K253" s="1">
        <v>45338</v>
      </c>
      <c r="L253" t="s">
        <v>28</v>
      </c>
      <c r="M253" s="2">
        <v>93</v>
      </c>
      <c r="O253" t="s">
        <v>29</v>
      </c>
      <c r="P253">
        <v>45</v>
      </c>
      <c r="Q253" t="s">
        <v>68</v>
      </c>
      <c r="R253" t="s">
        <v>62</v>
      </c>
      <c r="S253" t="s">
        <v>600</v>
      </c>
      <c r="T253">
        <v>19</v>
      </c>
      <c r="U253" t="str">
        <f>IF(Teacher_Data[[#This Row],[Completion_Status]]="Completed","Yes","No")</f>
        <v>No</v>
      </c>
      <c r="V253">
        <f>IF(Teacher_Data[[#This Row],[Completion_Status]]="Completed",1,0)</f>
        <v>0</v>
      </c>
      <c r="W253">
        <f>1</f>
        <v>1</v>
      </c>
      <c r="X253">
        <f>Teacher_Data[[#This Row],[End_Date]]-Teacher_Data[[#This Row],[Start_Date]]</f>
        <v>17</v>
      </c>
      <c r="Y253" t="str">
        <f>_xlfn.IFS(Teacher_Data[[#This Row],[Experience_Years]]&lt;=5,"0-5 Years",Teacher_Data[[#This Row],[Experience_Years]]&lt;=10,"5-10 Years",Teacher_Data[[#This Row],[Experience_Years]]&lt;=20,"11-20 Years",TRUE,"20+ Years")</f>
        <v>11-20 Years</v>
      </c>
    </row>
    <row r="254" spans="1:25" x14ac:dyDescent="0.3">
      <c r="A254" t="s">
        <v>601</v>
      </c>
      <c r="B254" t="s">
        <v>145</v>
      </c>
      <c r="C254" t="s">
        <v>35</v>
      </c>
      <c r="D254">
        <v>24</v>
      </c>
      <c r="E254" t="s">
        <v>36</v>
      </c>
      <c r="F254" t="s">
        <v>37</v>
      </c>
      <c r="G254" t="s">
        <v>25</v>
      </c>
      <c r="H254" t="s">
        <v>59</v>
      </c>
      <c r="I254" t="s">
        <v>27</v>
      </c>
      <c r="J254" s="1">
        <v>45539</v>
      </c>
      <c r="K254" s="1">
        <v>45568</v>
      </c>
      <c r="L254" t="s">
        <v>60</v>
      </c>
      <c r="M254" s="2">
        <v>22</v>
      </c>
      <c r="O254" t="s">
        <v>29</v>
      </c>
      <c r="P254">
        <v>50</v>
      </c>
      <c r="Q254" t="s">
        <v>40</v>
      </c>
      <c r="R254" t="s">
        <v>72</v>
      </c>
      <c r="S254" t="s">
        <v>602</v>
      </c>
      <c r="T254">
        <v>17</v>
      </c>
      <c r="U254" t="str">
        <f>IF(Teacher_Data[[#This Row],[Completion_Status]]="Completed","Yes","No")</f>
        <v>No</v>
      </c>
      <c r="V254">
        <f>IF(Teacher_Data[[#This Row],[Completion_Status]]="Completed",1,0)</f>
        <v>0</v>
      </c>
      <c r="W254">
        <f>1</f>
        <v>1</v>
      </c>
      <c r="X254">
        <f>Teacher_Data[[#This Row],[End_Date]]-Teacher_Data[[#This Row],[Start_Date]]</f>
        <v>29</v>
      </c>
      <c r="Y254" t="str">
        <f>_xlfn.IFS(Teacher_Data[[#This Row],[Experience_Years]]&lt;=5,"0-5 Years",Teacher_Data[[#This Row],[Experience_Years]]&lt;=10,"5-10 Years",Teacher_Data[[#This Row],[Experience_Years]]&lt;=20,"11-20 Years",TRUE,"20+ Years")</f>
        <v>11-20 Years</v>
      </c>
    </row>
    <row r="255" spans="1:25" x14ac:dyDescent="0.3">
      <c r="A255" t="s">
        <v>603</v>
      </c>
      <c r="B255" t="s">
        <v>176</v>
      </c>
      <c r="C255" t="s">
        <v>35</v>
      </c>
      <c r="D255">
        <v>46</v>
      </c>
      <c r="E255" t="s">
        <v>36</v>
      </c>
      <c r="F255" t="s">
        <v>83</v>
      </c>
      <c r="G255" t="s">
        <v>38</v>
      </c>
      <c r="H255" t="s">
        <v>39</v>
      </c>
      <c r="I255" t="s">
        <v>27</v>
      </c>
      <c r="J255" s="1">
        <v>45295</v>
      </c>
      <c r="K255" s="1">
        <v>45308</v>
      </c>
      <c r="L255" t="s">
        <v>60</v>
      </c>
      <c r="M255" s="2">
        <v>5</v>
      </c>
      <c r="O255" t="s">
        <v>29</v>
      </c>
      <c r="P255">
        <v>25</v>
      </c>
      <c r="Q255" t="s">
        <v>30</v>
      </c>
      <c r="R255" t="s">
        <v>41</v>
      </c>
      <c r="S255" t="s">
        <v>604</v>
      </c>
      <c r="T255">
        <v>19</v>
      </c>
      <c r="U255" t="str">
        <f>IF(Teacher_Data[[#This Row],[Completion_Status]]="Completed","Yes","No")</f>
        <v>No</v>
      </c>
      <c r="V255">
        <f>IF(Teacher_Data[[#This Row],[Completion_Status]]="Completed",1,0)</f>
        <v>0</v>
      </c>
      <c r="W255">
        <f>1</f>
        <v>1</v>
      </c>
      <c r="X255">
        <f>Teacher_Data[[#This Row],[End_Date]]-Teacher_Data[[#This Row],[Start_Date]]</f>
        <v>13</v>
      </c>
      <c r="Y255" t="str">
        <f>_xlfn.IFS(Teacher_Data[[#This Row],[Experience_Years]]&lt;=5,"0-5 Years",Teacher_Data[[#This Row],[Experience_Years]]&lt;=10,"5-10 Years",Teacher_Data[[#This Row],[Experience_Years]]&lt;=20,"11-20 Years",TRUE,"20+ Years")</f>
        <v>11-20 Years</v>
      </c>
    </row>
    <row r="256" spans="1:25" x14ac:dyDescent="0.3">
      <c r="A256" t="s">
        <v>605</v>
      </c>
      <c r="B256" t="s">
        <v>71</v>
      </c>
      <c r="C256" t="s">
        <v>35</v>
      </c>
      <c r="D256">
        <v>53</v>
      </c>
      <c r="E256" t="s">
        <v>57</v>
      </c>
      <c r="F256" t="s">
        <v>24</v>
      </c>
      <c r="G256" t="s">
        <v>38</v>
      </c>
      <c r="H256" t="s">
        <v>50</v>
      </c>
      <c r="I256" t="s">
        <v>51</v>
      </c>
      <c r="J256" s="1">
        <v>45516</v>
      </c>
      <c r="K256" s="1">
        <v>45537</v>
      </c>
      <c r="L256" t="s">
        <v>28</v>
      </c>
      <c r="M256" s="2">
        <v>66</v>
      </c>
      <c r="O256" t="s">
        <v>29</v>
      </c>
      <c r="P256">
        <v>12</v>
      </c>
      <c r="Q256" t="s">
        <v>40</v>
      </c>
      <c r="R256" t="s">
        <v>62</v>
      </c>
      <c r="S256" t="s">
        <v>606</v>
      </c>
      <c r="T256">
        <v>3</v>
      </c>
      <c r="U256" t="str">
        <f>IF(Teacher_Data[[#This Row],[Completion_Status]]="Completed","Yes","No")</f>
        <v>No</v>
      </c>
      <c r="V256">
        <f>IF(Teacher_Data[[#This Row],[Completion_Status]]="Completed",1,0)</f>
        <v>0</v>
      </c>
      <c r="W256">
        <f>1</f>
        <v>1</v>
      </c>
      <c r="X256">
        <f>Teacher_Data[[#This Row],[End_Date]]-Teacher_Data[[#This Row],[Start_Date]]</f>
        <v>21</v>
      </c>
      <c r="Y256" t="str">
        <f>_xlfn.IFS(Teacher_Data[[#This Row],[Experience_Years]]&lt;=5,"0-5 Years",Teacher_Data[[#This Row],[Experience_Years]]&lt;=10,"5-10 Years",Teacher_Data[[#This Row],[Experience_Years]]&lt;=20,"11-20 Years",TRUE,"20+ Years")</f>
        <v>0-5 Years</v>
      </c>
    </row>
    <row r="257" spans="1:25" x14ac:dyDescent="0.3">
      <c r="A257" t="s">
        <v>607</v>
      </c>
      <c r="B257" t="s">
        <v>65</v>
      </c>
      <c r="C257" t="s">
        <v>22</v>
      </c>
      <c r="D257">
        <v>32</v>
      </c>
      <c r="E257" t="s">
        <v>23</v>
      </c>
      <c r="F257" t="s">
        <v>100</v>
      </c>
      <c r="G257" t="s">
        <v>45</v>
      </c>
      <c r="H257" t="s">
        <v>59</v>
      </c>
      <c r="I257" t="s">
        <v>46</v>
      </c>
      <c r="J257" s="1">
        <v>45362</v>
      </c>
      <c r="K257" s="1">
        <v>45395</v>
      </c>
      <c r="L257" t="s">
        <v>28</v>
      </c>
      <c r="M257" s="2">
        <v>41</v>
      </c>
      <c r="O257" t="s">
        <v>29</v>
      </c>
      <c r="P257">
        <v>36</v>
      </c>
      <c r="Q257" t="s">
        <v>61</v>
      </c>
      <c r="R257" t="s">
        <v>41</v>
      </c>
      <c r="S257" t="s">
        <v>608</v>
      </c>
      <c r="T257">
        <v>6</v>
      </c>
      <c r="U257" t="str">
        <f>IF(Teacher_Data[[#This Row],[Completion_Status]]="Completed","Yes","No")</f>
        <v>No</v>
      </c>
      <c r="V257">
        <f>IF(Teacher_Data[[#This Row],[Completion_Status]]="Completed",1,0)</f>
        <v>0</v>
      </c>
      <c r="W257">
        <f>1</f>
        <v>1</v>
      </c>
      <c r="X257">
        <f>Teacher_Data[[#This Row],[End_Date]]-Teacher_Data[[#This Row],[Start_Date]]</f>
        <v>33</v>
      </c>
      <c r="Y257" t="str">
        <f>_xlfn.IFS(Teacher_Data[[#This Row],[Experience_Years]]&lt;=5,"0-5 Years",Teacher_Data[[#This Row],[Experience_Years]]&lt;=10,"5-10 Years",Teacher_Data[[#This Row],[Experience_Years]]&lt;=20,"11-20 Years",TRUE,"20+ Years")</f>
        <v>5-10 Years</v>
      </c>
    </row>
    <row r="258" spans="1:25" x14ac:dyDescent="0.3">
      <c r="A258" t="s">
        <v>609</v>
      </c>
      <c r="B258" t="s">
        <v>65</v>
      </c>
      <c r="C258" t="s">
        <v>22</v>
      </c>
      <c r="D258">
        <v>25</v>
      </c>
      <c r="E258" t="s">
        <v>66</v>
      </c>
      <c r="F258" t="s">
        <v>83</v>
      </c>
      <c r="G258" t="s">
        <v>25</v>
      </c>
      <c r="H258" t="s">
        <v>50</v>
      </c>
      <c r="I258" t="s">
        <v>46</v>
      </c>
      <c r="J258" s="1">
        <v>45307</v>
      </c>
      <c r="K258" s="1">
        <v>45347</v>
      </c>
      <c r="L258" t="s">
        <v>52</v>
      </c>
      <c r="M258" s="2">
        <v>72</v>
      </c>
      <c r="N258">
        <v>85</v>
      </c>
      <c r="O258" t="s">
        <v>53</v>
      </c>
      <c r="P258">
        <v>29</v>
      </c>
      <c r="Q258" t="s">
        <v>40</v>
      </c>
      <c r="R258" t="s">
        <v>31</v>
      </c>
      <c r="S258" t="s">
        <v>610</v>
      </c>
      <c r="T258">
        <v>12</v>
      </c>
      <c r="U258" t="str">
        <f>IF(Teacher_Data[[#This Row],[Completion_Status]]="Completed","Yes","No")</f>
        <v>Yes</v>
      </c>
      <c r="V258">
        <f>IF(Teacher_Data[[#This Row],[Completion_Status]]="Completed",1,0)</f>
        <v>1</v>
      </c>
      <c r="W258">
        <f>1</f>
        <v>1</v>
      </c>
      <c r="X258">
        <f>Teacher_Data[[#This Row],[End_Date]]-Teacher_Data[[#This Row],[Start_Date]]</f>
        <v>40</v>
      </c>
      <c r="Y258" t="str">
        <f>_xlfn.IFS(Teacher_Data[[#This Row],[Experience_Years]]&lt;=5,"0-5 Years",Teacher_Data[[#This Row],[Experience_Years]]&lt;=10,"5-10 Years",Teacher_Data[[#This Row],[Experience_Years]]&lt;=20,"11-20 Years",TRUE,"20+ Years")</f>
        <v>11-20 Years</v>
      </c>
    </row>
    <row r="259" spans="1:25" x14ac:dyDescent="0.3">
      <c r="A259" t="s">
        <v>611</v>
      </c>
      <c r="B259" t="s">
        <v>194</v>
      </c>
      <c r="C259" t="s">
        <v>22</v>
      </c>
      <c r="D259">
        <v>46</v>
      </c>
      <c r="E259" t="s">
        <v>36</v>
      </c>
      <c r="F259" t="s">
        <v>24</v>
      </c>
      <c r="G259" t="s">
        <v>25</v>
      </c>
      <c r="H259" t="s">
        <v>50</v>
      </c>
      <c r="I259" t="s">
        <v>51</v>
      </c>
      <c r="J259" s="1">
        <v>45342</v>
      </c>
      <c r="K259" s="1">
        <v>45361</v>
      </c>
      <c r="L259" t="s">
        <v>60</v>
      </c>
      <c r="M259" s="2">
        <v>24</v>
      </c>
      <c r="O259" t="s">
        <v>29</v>
      </c>
      <c r="P259">
        <v>22</v>
      </c>
      <c r="Q259" t="s">
        <v>30</v>
      </c>
      <c r="R259" t="s">
        <v>41</v>
      </c>
      <c r="S259" t="s">
        <v>612</v>
      </c>
      <c r="T259">
        <v>5</v>
      </c>
      <c r="U259" t="str">
        <f>IF(Teacher_Data[[#This Row],[Completion_Status]]="Completed","Yes","No")</f>
        <v>No</v>
      </c>
      <c r="V259">
        <f>IF(Teacher_Data[[#This Row],[Completion_Status]]="Completed",1,0)</f>
        <v>0</v>
      </c>
      <c r="W259">
        <f>1</f>
        <v>1</v>
      </c>
      <c r="X259">
        <f>Teacher_Data[[#This Row],[End_Date]]-Teacher_Data[[#This Row],[Start_Date]]</f>
        <v>19</v>
      </c>
      <c r="Y259" t="str">
        <f>_xlfn.IFS(Teacher_Data[[#This Row],[Experience_Years]]&lt;=5,"0-5 Years",Teacher_Data[[#This Row],[Experience_Years]]&lt;=10,"5-10 Years",Teacher_Data[[#This Row],[Experience_Years]]&lt;=20,"11-20 Years",TRUE,"20+ Years")</f>
        <v>0-5 Years</v>
      </c>
    </row>
    <row r="260" spans="1:25" x14ac:dyDescent="0.3">
      <c r="A260" t="s">
        <v>613</v>
      </c>
      <c r="B260" t="s">
        <v>103</v>
      </c>
      <c r="C260" t="s">
        <v>35</v>
      </c>
      <c r="D260">
        <v>34</v>
      </c>
      <c r="E260" t="s">
        <v>57</v>
      </c>
      <c r="F260" t="s">
        <v>24</v>
      </c>
      <c r="G260" t="s">
        <v>38</v>
      </c>
      <c r="H260" t="s">
        <v>50</v>
      </c>
      <c r="I260" t="s">
        <v>51</v>
      </c>
      <c r="J260" s="1">
        <v>45553</v>
      </c>
      <c r="K260" s="1">
        <v>45598</v>
      </c>
      <c r="L260" t="s">
        <v>28</v>
      </c>
      <c r="M260" s="2">
        <v>85</v>
      </c>
      <c r="O260" t="s">
        <v>29</v>
      </c>
      <c r="P260">
        <v>29</v>
      </c>
      <c r="Q260" t="s">
        <v>30</v>
      </c>
      <c r="R260" t="s">
        <v>62</v>
      </c>
      <c r="S260" t="s">
        <v>614</v>
      </c>
      <c r="T260">
        <v>22</v>
      </c>
      <c r="U260" t="str">
        <f>IF(Teacher_Data[[#This Row],[Completion_Status]]="Completed","Yes","No")</f>
        <v>No</v>
      </c>
      <c r="V260">
        <f>IF(Teacher_Data[[#This Row],[Completion_Status]]="Completed",1,0)</f>
        <v>0</v>
      </c>
      <c r="W260">
        <f>1</f>
        <v>1</v>
      </c>
      <c r="X260">
        <f>Teacher_Data[[#This Row],[End_Date]]-Teacher_Data[[#This Row],[Start_Date]]</f>
        <v>45</v>
      </c>
      <c r="Y260" t="str">
        <f>_xlfn.IFS(Teacher_Data[[#This Row],[Experience_Years]]&lt;=5,"0-5 Years",Teacher_Data[[#This Row],[Experience_Years]]&lt;=10,"5-10 Years",Teacher_Data[[#This Row],[Experience_Years]]&lt;=20,"11-20 Years",TRUE,"20+ Years")</f>
        <v>20+ Years</v>
      </c>
    </row>
    <row r="261" spans="1:25" x14ac:dyDescent="0.3">
      <c r="A261" t="s">
        <v>615</v>
      </c>
      <c r="B261" t="s">
        <v>34</v>
      </c>
      <c r="C261" t="s">
        <v>22</v>
      </c>
      <c r="D261">
        <v>45</v>
      </c>
      <c r="E261" t="s">
        <v>23</v>
      </c>
      <c r="F261" t="s">
        <v>67</v>
      </c>
      <c r="G261" t="s">
        <v>76</v>
      </c>
      <c r="H261" t="s">
        <v>59</v>
      </c>
      <c r="I261" t="s">
        <v>46</v>
      </c>
      <c r="J261" s="1">
        <v>45484</v>
      </c>
      <c r="K261" s="1">
        <v>45492</v>
      </c>
      <c r="L261" t="s">
        <v>52</v>
      </c>
      <c r="M261" s="2">
        <v>83</v>
      </c>
      <c r="N261">
        <v>100</v>
      </c>
      <c r="O261" t="s">
        <v>53</v>
      </c>
      <c r="P261">
        <v>26</v>
      </c>
      <c r="Q261" t="s">
        <v>61</v>
      </c>
      <c r="R261" t="s">
        <v>62</v>
      </c>
      <c r="S261" t="s">
        <v>616</v>
      </c>
      <c r="T261">
        <v>21</v>
      </c>
      <c r="U261" t="str">
        <f>IF(Teacher_Data[[#This Row],[Completion_Status]]="Completed","Yes","No")</f>
        <v>Yes</v>
      </c>
      <c r="V261">
        <f>IF(Teacher_Data[[#This Row],[Completion_Status]]="Completed",1,0)</f>
        <v>1</v>
      </c>
      <c r="W261">
        <f>1</f>
        <v>1</v>
      </c>
      <c r="X261">
        <f>Teacher_Data[[#This Row],[End_Date]]-Teacher_Data[[#This Row],[Start_Date]]</f>
        <v>8</v>
      </c>
      <c r="Y261" t="str">
        <f>_xlfn.IFS(Teacher_Data[[#This Row],[Experience_Years]]&lt;=5,"0-5 Years",Teacher_Data[[#This Row],[Experience_Years]]&lt;=10,"5-10 Years",Teacher_Data[[#This Row],[Experience_Years]]&lt;=20,"11-20 Years",TRUE,"20+ Years")</f>
        <v>20+ Years</v>
      </c>
    </row>
    <row r="262" spans="1:25" x14ac:dyDescent="0.3">
      <c r="A262" t="s">
        <v>617</v>
      </c>
      <c r="B262" t="s">
        <v>115</v>
      </c>
      <c r="C262" t="s">
        <v>22</v>
      </c>
      <c r="D262">
        <v>32</v>
      </c>
      <c r="E262" t="s">
        <v>36</v>
      </c>
      <c r="F262" t="s">
        <v>83</v>
      </c>
      <c r="G262" t="s">
        <v>45</v>
      </c>
      <c r="H262" t="s">
        <v>50</v>
      </c>
      <c r="I262" t="s">
        <v>46</v>
      </c>
      <c r="J262" s="1">
        <v>45562</v>
      </c>
      <c r="K262" s="1">
        <v>45619</v>
      </c>
      <c r="L262" t="s">
        <v>28</v>
      </c>
      <c r="M262" s="2">
        <v>50</v>
      </c>
      <c r="O262" t="s">
        <v>29</v>
      </c>
      <c r="P262">
        <v>48</v>
      </c>
      <c r="Q262" t="s">
        <v>68</v>
      </c>
      <c r="R262" t="s">
        <v>62</v>
      </c>
      <c r="S262" t="s">
        <v>618</v>
      </c>
      <c r="T262">
        <v>8</v>
      </c>
      <c r="U262" t="str">
        <f>IF(Teacher_Data[[#This Row],[Completion_Status]]="Completed","Yes","No")</f>
        <v>No</v>
      </c>
      <c r="V262">
        <f>IF(Teacher_Data[[#This Row],[Completion_Status]]="Completed",1,0)</f>
        <v>0</v>
      </c>
      <c r="W262">
        <f>1</f>
        <v>1</v>
      </c>
      <c r="X262">
        <f>Teacher_Data[[#This Row],[End_Date]]-Teacher_Data[[#This Row],[Start_Date]]</f>
        <v>57</v>
      </c>
      <c r="Y262" t="str">
        <f>_xlfn.IFS(Teacher_Data[[#This Row],[Experience_Years]]&lt;=5,"0-5 Years",Teacher_Data[[#This Row],[Experience_Years]]&lt;=10,"5-10 Years",Teacher_Data[[#This Row],[Experience_Years]]&lt;=20,"11-20 Years",TRUE,"20+ Years")</f>
        <v>5-10 Years</v>
      </c>
    </row>
    <row r="263" spans="1:25" x14ac:dyDescent="0.3">
      <c r="A263" t="s">
        <v>619</v>
      </c>
      <c r="B263" t="s">
        <v>156</v>
      </c>
      <c r="C263" t="s">
        <v>22</v>
      </c>
      <c r="D263">
        <v>57</v>
      </c>
      <c r="E263" t="s">
        <v>66</v>
      </c>
      <c r="F263" t="s">
        <v>100</v>
      </c>
      <c r="G263" t="s">
        <v>58</v>
      </c>
      <c r="H263" t="s">
        <v>26</v>
      </c>
      <c r="I263" t="s">
        <v>27</v>
      </c>
      <c r="J263" s="1">
        <v>45344</v>
      </c>
      <c r="K263" s="1">
        <v>45404</v>
      </c>
      <c r="L263" t="s">
        <v>28</v>
      </c>
      <c r="M263" s="2">
        <v>47</v>
      </c>
      <c r="O263" t="s">
        <v>29</v>
      </c>
      <c r="P263">
        <v>40</v>
      </c>
      <c r="Q263" t="s">
        <v>61</v>
      </c>
      <c r="R263" t="s">
        <v>72</v>
      </c>
      <c r="S263" t="s">
        <v>620</v>
      </c>
      <c r="T263">
        <v>30</v>
      </c>
      <c r="U263" t="str">
        <f>IF(Teacher_Data[[#This Row],[Completion_Status]]="Completed","Yes","No")</f>
        <v>No</v>
      </c>
      <c r="V263">
        <f>IF(Teacher_Data[[#This Row],[Completion_Status]]="Completed",1,0)</f>
        <v>0</v>
      </c>
      <c r="W263">
        <f>1</f>
        <v>1</v>
      </c>
      <c r="X263">
        <f>Teacher_Data[[#This Row],[End_Date]]-Teacher_Data[[#This Row],[Start_Date]]</f>
        <v>60</v>
      </c>
      <c r="Y263" t="str">
        <f>_xlfn.IFS(Teacher_Data[[#This Row],[Experience_Years]]&lt;=5,"0-5 Years",Teacher_Data[[#This Row],[Experience_Years]]&lt;=10,"5-10 Years",Teacher_Data[[#This Row],[Experience_Years]]&lt;=20,"11-20 Years",TRUE,"20+ Years")</f>
        <v>20+ Years</v>
      </c>
    </row>
    <row r="264" spans="1:25" x14ac:dyDescent="0.3">
      <c r="A264" t="s">
        <v>621</v>
      </c>
      <c r="B264" t="s">
        <v>238</v>
      </c>
      <c r="C264" t="s">
        <v>22</v>
      </c>
      <c r="D264">
        <v>45</v>
      </c>
      <c r="E264" t="s">
        <v>66</v>
      </c>
      <c r="F264" t="s">
        <v>83</v>
      </c>
      <c r="G264" t="s">
        <v>58</v>
      </c>
      <c r="H264" t="s">
        <v>59</v>
      </c>
      <c r="I264" t="s">
        <v>51</v>
      </c>
      <c r="J264" s="1">
        <v>45497</v>
      </c>
      <c r="K264" s="1">
        <v>45543</v>
      </c>
      <c r="L264" t="s">
        <v>28</v>
      </c>
      <c r="M264" s="2">
        <v>93</v>
      </c>
      <c r="O264" t="s">
        <v>29</v>
      </c>
      <c r="P264">
        <v>9</v>
      </c>
      <c r="Q264" t="s">
        <v>40</v>
      </c>
      <c r="R264" t="s">
        <v>62</v>
      </c>
      <c r="S264" t="s">
        <v>622</v>
      </c>
      <c r="T264">
        <v>35</v>
      </c>
      <c r="U264" t="str">
        <f>IF(Teacher_Data[[#This Row],[Completion_Status]]="Completed","Yes","No")</f>
        <v>No</v>
      </c>
      <c r="V264">
        <f>IF(Teacher_Data[[#This Row],[Completion_Status]]="Completed",1,0)</f>
        <v>0</v>
      </c>
      <c r="W264">
        <f>1</f>
        <v>1</v>
      </c>
      <c r="X264">
        <f>Teacher_Data[[#This Row],[End_Date]]-Teacher_Data[[#This Row],[Start_Date]]</f>
        <v>46</v>
      </c>
      <c r="Y264" t="str">
        <f>_xlfn.IFS(Teacher_Data[[#This Row],[Experience_Years]]&lt;=5,"0-5 Years",Teacher_Data[[#This Row],[Experience_Years]]&lt;=10,"5-10 Years",Teacher_Data[[#This Row],[Experience_Years]]&lt;=20,"11-20 Years",TRUE,"20+ Years")</f>
        <v>20+ Years</v>
      </c>
    </row>
    <row r="265" spans="1:25" x14ac:dyDescent="0.3">
      <c r="A265" t="s">
        <v>623</v>
      </c>
      <c r="B265" t="s">
        <v>179</v>
      </c>
      <c r="C265" t="s">
        <v>35</v>
      </c>
      <c r="D265">
        <v>38</v>
      </c>
      <c r="E265" t="s">
        <v>57</v>
      </c>
      <c r="F265" t="s">
        <v>100</v>
      </c>
      <c r="G265" t="s">
        <v>76</v>
      </c>
      <c r="H265" t="s">
        <v>59</v>
      </c>
      <c r="I265" t="s">
        <v>27</v>
      </c>
      <c r="J265" s="1">
        <v>45426</v>
      </c>
      <c r="K265" s="1">
        <v>45446</v>
      </c>
      <c r="L265" t="s">
        <v>28</v>
      </c>
      <c r="M265" s="2">
        <v>67</v>
      </c>
      <c r="O265" t="s">
        <v>29</v>
      </c>
      <c r="P265">
        <v>25</v>
      </c>
      <c r="Q265" t="s">
        <v>61</v>
      </c>
      <c r="R265" t="s">
        <v>72</v>
      </c>
      <c r="S265" t="s">
        <v>624</v>
      </c>
      <c r="T265">
        <v>31</v>
      </c>
      <c r="U265" t="str">
        <f>IF(Teacher_Data[[#This Row],[Completion_Status]]="Completed","Yes","No")</f>
        <v>No</v>
      </c>
      <c r="V265">
        <f>IF(Teacher_Data[[#This Row],[Completion_Status]]="Completed",1,0)</f>
        <v>0</v>
      </c>
      <c r="W265">
        <f>1</f>
        <v>1</v>
      </c>
      <c r="X265">
        <f>Teacher_Data[[#This Row],[End_Date]]-Teacher_Data[[#This Row],[Start_Date]]</f>
        <v>20</v>
      </c>
      <c r="Y265" t="str">
        <f>_xlfn.IFS(Teacher_Data[[#This Row],[Experience_Years]]&lt;=5,"0-5 Years",Teacher_Data[[#This Row],[Experience_Years]]&lt;=10,"5-10 Years",Teacher_Data[[#This Row],[Experience_Years]]&lt;=20,"11-20 Years",TRUE,"20+ Years")</f>
        <v>20+ Years</v>
      </c>
    </row>
    <row r="266" spans="1:25" x14ac:dyDescent="0.3">
      <c r="A266" t="s">
        <v>625</v>
      </c>
      <c r="B266" t="s">
        <v>229</v>
      </c>
      <c r="C266" t="s">
        <v>35</v>
      </c>
      <c r="D266">
        <v>25</v>
      </c>
      <c r="E266" t="s">
        <v>66</v>
      </c>
      <c r="F266" t="s">
        <v>67</v>
      </c>
      <c r="G266" t="s">
        <v>58</v>
      </c>
      <c r="H266" t="s">
        <v>59</v>
      </c>
      <c r="I266" t="s">
        <v>27</v>
      </c>
      <c r="J266" s="1">
        <v>45397</v>
      </c>
      <c r="K266" s="1">
        <v>45442</v>
      </c>
      <c r="L266" t="s">
        <v>52</v>
      </c>
      <c r="M266" s="2">
        <v>41</v>
      </c>
      <c r="N266">
        <v>50</v>
      </c>
      <c r="O266" t="s">
        <v>53</v>
      </c>
      <c r="P266">
        <v>6</v>
      </c>
      <c r="Q266" t="s">
        <v>40</v>
      </c>
      <c r="R266" t="s">
        <v>62</v>
      </c>
      <c r="S266" t="s">
        <v>626</v>
      </c>
      <c r="T266">
        <v>34</v>
      </c>
      <c r="U266" t="str">
        <f>IF(Teacher_Data[[#This Row],[Completion_Status]]="Completed","Yes","No")</f>
        <v>Yes</v>
      </c>
      <c r="V266">
        <f>IF(Teacher_Data[[#This Row],[Completion_Status]]="Completed",1,0)</f>
        <v>1</v>
      </c>
      <c r="W266">
        <f>1</f>
        <v>1</v>
      </c>
      <c r="X266">
        <f>Teacher_Data[[#This Row],[End_Date]]-Teacher_Data[[#This Row],[Start_Date]]</f>
        <v>45</v>
      </c>
      <c r="Y266" t="str">
        <f>_xlfn.IFS(Teacher_Data[[#This Row],[Experience_Years]]&lt;=5,"0-5 Years",Teacher_Data[[#This Row],[Experience_Years]]&lt;=10,"5-10 Years",Teacher_Data[[#This Row],[Experience_Years]]&lt;=20,"11-20 Years",TRUE,"20+ Years")</f>
        <v>20+ Years</v>
      </c>
    </row>
    <row r="267" spans="1:25" x14ac:dyDescent="0.3">
      <c r="A267" t="s">
        <v>627</v>
      </c>
      <c r="B267" t="s">
        <v>145</v>
      </c>
      <c r="C267" t="s">
        <v>22</v>
      </c>
      <c r="D267">
        <v>60</v>
      </c>
      <c r="E267" t="s">
        <v>57</v>
      </c>
      <c r="F267" t="s">
        <v>67</v>
      </c>
      <c r="G267" t="s">
        <v>58</v>
      </c>
      <c r="H267" t="s">
        <v>50</v>
      </c>
      <c r="I267" t="s">
        <v>51</v>
      </c>
      <c r="J267" s="1">
        <v>45582</v>
      </c>
      <c r="K267" s="1">
        <v>45615</v>
      </c>
      <c r="L267" t="s">
        <v>52</v>
      </c>
      <c r="M267" s="2">
        <v>82</v>
      </c>
      <c r="N267">
        <v>80</v>
      </c>
      <c r="O267" t="s">
        <v>53</v>
      </c>
      <c r="P267">
        <v>46</v>
      </c>
      <c r="Q267" t="s">
        <v>40</v>
      </c>
      <c r="R267" t="s">
        <v>31</v>
      </c>
      <c r="S267" t="s">
        <v>628</v>
      </c>
      <c r="T267">
        <v>26</v>
      </c>
      <c r="U267" t="str">
        <f>IF(Teacher_Data[[#This Row],[Completion_Status]]="Completed","Yes","No")</f>
        <v>Yes</v>
      </c>
      <c r="V267">
        <f>IF(Teacher_Data[[#This Row],[Completion_Status]]="Completed",1,0)</f>
        <v>1</v>
      </c>
      <c r="W267">
        <f>1</f>
        <v>1</v>
      </c>
      <c r="X267">
        <f>Teacher_Data[[#This Row],[End_Date]]-Teacher_Data[[#This Row],[Start_Date]]</f>
        <v>33</v>
      </c>
      <c r="Y267" t="str">
        <f>_xlfn.IFS(Teacher_Data[[#This Row],[Experience_Years]]&lt;=5,"0-5 Years",Teacher_Data[[#This Row],[Experience_Years]]&lt;=10,"5-10 Years",Teacher_Data[[#This Row],[Experience_Years]]&lt;=20,"11-20 Years",TRUE,"20+ Years")</f>
        <v>20+ Years</v>
      </c>
    </row>
    <row r="268" spans="1:25" x14ac:dyDescent="0.3">
      <c r="A268" t="s">
        <v>629</v>
      </c>
      <c r="B268" t="s">
        <v>156</v>
      </c>
      <c r="C268" t="s">
        <v>35</v>
      </c>
      <c r="D268">
        <v>47</v>
      </c>
      <c r="E268" t="s">
        <v>57</v>
      </c>
      <c r="F268" t="s">
        <v>83</v>
      </c>
      <c r="G268" t="s">
        <v>76</v>
      </c>
      <c r="H268" t="s">
        <v>39</v>
      </c>
      <c r="I268" t="s">
        <v>51</v>
      </c>
      <c r="J268" s="1">
        <v>45336</v>
      </c>
      <c r="K268" s="1">
        <v>45360</v>
      </c>
      <c r="L268" t="s">
        <v>60</v>
      </c>
      <c r="M268" s="2">
        <v>22</v>
      </c>
      <c r="O268" t="s">
        <v>29</v>
      </c>
      <c r="P268">
        <v>54</v>
      </c>
      <c r="Q268" t="s">
        <v>30</v>
      </c>
      <c r="R268" t="s">
        <v>72</v>
      </c>
      <c r="S268" t="s">
        <v>630</v>
      </c>
      <c r="T268">
        <v>1</v>
      </c>
      <c r="U268" t="str">
        <f>IF(Teacher_Data[[#This Row],[Completion_Status]]="Completed","Yes","No")</f>
        <v>No</v>
      </c>
      <c r="V268">
        <f>IF(Teacher_Data[[#This Row],[Completion_Status]]="Completed",1,0)</f>
        <v>0</v>
      </c>
      <c r="W268">
        <f>1</f>
        <v>1</v>
      </c>
      <c r="X268">
        <f>Teacher_Data[[#This Row],[End_Date]]-Teacher_Data[[#This Row],[Start_Date]]</f>
        <v>24</v>
      </c>
      <c r="Y268" t="str">
        <f>_xlfn.IFS(Teacher_Data[[#This Row],[Experience_Years]]&lt;=5,"0-5 Years",Teacher_Data[[#This Row],[Experience_Years]]&lt;=10,"5-10 Years",Teacher_Data[[#This Row],[Experience_Years]]&lt;=20,"11-20 Years",TRUE,"20+ Years")</f>
        <v>0-5 Years</v>
      </c>
    </row>
    <row r="269" spans="1:25" x14ac:dyDescent="0.3">
      <c r="A269" t="s">
        <v>631</v>
      </c>
      <c r="B269" t="s">
        <v>140</v>
      </c>
      <c r="C269" t="s">
        <v>35</v>
      </c>
      <c r="D269">
        <v>29</v>
      </c>
      <c r="E269" t="s">
        <v>66</v>
      </c>
      <c r="F269" t="s">
        <v>83</v>
      </c>
      <c r="G269" t="s">
        <v>25</v>
      </c>
      <c r="H269" t="s">
        <v>59</v>
      </c>
      <c r="I269" t="s">
        <v>27</v>
      </c>
      <c r="J269" s="1">
        <v>45473</v>
      </c>
      <c r="K269" s="1">
        <v>45497</v>
      </c>
      <c r="L269" t="s">
        <v>60</v>
      </c>
      <c r="M269" s="2">
        <v>23</v>
      </c>
      <c r="O269" t="s">
        <v>29</v>
      </c>
      <c r="P269">
        <v>39</v>
      </c>
      <c r="Q269" t="s">
        <v>40</v>
      </c>
      <c r="R269" t="s">
        <v>41</v>
      </c>
      <c r="S269" t="s">
        <v>632</v>
      </c>
      <c r="T269">
        <v>10</v>
      </c>
      <c r="U269" t="str">
        <f>IF(Teacher_Data[[#This Row],[Completion_Status]]="Completed","Yes","No")</f>
        <v>No</v>
      </c>
      <c r="V269">
        <f>IF(Teacher_Data[[#This Row],[Completion_Status]]="Completed",1,0)</f>
        <v>0</v>
      </c>
      <c r="W269">
        <f>1</f>
        <v>1</v>
      </c>
      <c r="X269">
        <f>Teacher_Data[[#This Row],[End_Date]]-Teacher_Data[[#This Row],[Start_Date]]</f>
        <v>24</v>
      </c>
      <c r="Y269" t="str">
        <f>_xlfn.IFS(Teacher_Data[[#This Row],[Experience_Years]]&lt;=5,"0-5 Years",Teacher_Data[[#This Row],[Experience_Years]]&lt;=10,"5-10 Years",Teacher_Data[[#This Row],[Experience_Years]]&lt;=20,"11-20 Years",TRUE,"20+ Years")</f>
        <v>5-10 Years</v>
      </c>
    </row>
    <row r="270" spans="1:25" x14ac:dyDescent="0.3">
      <c r="A270" t="s">
        <v>633</v>
      </c>
      <c r="B270" t="s">
        <v>281</v>
      </c>
      <c r="C270" t="s">
        <v>35</v>
      </c>
      <c r="D270">
        <v>30</v>
      </c>
      <c r="E270" t="s">
        <v>23</v>
      </c>
      <c r="F270" t="s">
        <v>67</v>
      </c>
      <c r="G270" t="s">
        <v>58</v>
      </c>
      <c r="H270" t="s">
        <v>26</v>
      </c>
      <c r="I270" t="s">
        <v>27</v>
      </c>
      <c r="J270" s="1">
        <v>45426</v>
      </c>
      <c r="K270" s="1">
        <v>45458</v>
      </c>
      <c r="L270" t="s">
        <v>28</v>
      </c>
      <c r="M270" s="2">
        <v>76</v>
      </c>
      <c r="O270" t="s">
        <v>29</v>
      </c>
      <c r="P270">
        <v>39</v>
      </c>
      <c r="Q270" t="s">
        <v>68</v>
      </c>
      <c r="R270" t="s">
        <v>104</v>
      </c>
      <c r="S270" t="s">
        <v>634</v>
      </c>
      <c r="T270">
        <v>7</v>
      </c>
      <c r="U270" t="str">
        <f>IF(Teacher_Data[[#This Row],[Completion_Status]]="Completed","Yes","No")</f>
        <v>No</v>
      </c>
      <c r="V270">
        <f>IF(Teacher_Data[[#This Row],[Completion_Status]]="Completed",1,0)</f>
        <v>0</v>
      </c>
      <c r="W270">
        <f>1</f>
        <v>1</v>
      </c>
      <c r="X270">
        <f>Teacher_Data[[#This Row],[End_Date]]-Teacher_Data[[#This Row],[Start_Date]]</f>
        <v>32</v>
      </c>
      <c r="Y270" t="str">
        <f>_xlfn.IFS(Teacher_Data[[#This Row],[Experience_Years]]&lt;=5,"0-5 Years",Teacher_Data[[#This Row],[Experience_Years]]&lt;=10,"5-10 Years",Teacher_Data[[#This Row],[Experience_Years]]&lt;=20,"11-20 Years",TRUE,"20+ Years")</f>
        <v>5-10 Years</v>
      </c>
    </row>
    <row r="271" spans="1:25" x14ac:dyDescent="0.3">
      <c r="A271" t="s">
        <v>635</v>
      </c>
      <c r="B271" t="s">
        <v>124</v>
      </c>
      <c r="C271" t="s">
        <v>22</v>
      </c>
      <c r="D271">
        <v>44</v>
      </c>
      <c r="E271" t="s">
        <v>66</v>
      </c>
      <c r="F271" t="s">
        <v>100</v>
      </c>
      <c r="G271" t="s">
        <v>25</v>
      </c>
      <c r="H271" t="s">
        <v>39</v>
      </c>
      <c r="I271" t="s">
        <v>51</v>
      </c>
      <c r="J271" s="1">
        <v>45305</v>
      </c>
      <c r="K271" s="1">
        <v>45346</v>
      </c>
      <c r="L271" t="s">
        <v>28</v>
      </c>
      <c r="M271" s="2">
        <v>73</v>
      </c>
      <c r="O271" t="s">
        <v>29</v>
      </c>
      <c r="P271">
        <v>56</v>
      </c>
      <c r="Q271" t="s">
        <v>68</v>
      </c>
      <c r="R271" t="s">
        <v>72</v>
      </c>
      <c r="S271" t="s">
        <v>636</v>
      </c>
      <c r="T271">
        <v>14</v>
      </c>
      <c r="U271" t="str">
        <f>IF(Teacher_Data[[#This Row],[Completion_Status]]="Completed","Yes","No")</f>
        <v>No</v>
      </c>
      <c r="V271">
        <f>IF(Teacher_Data[[#This Row],[Completion_Status]]="Completed",1,0)</f>
        <v>0</v>
      </c>
      <c r="W271">
        <f>1</f>
        <v>1</v>
      </c>
      <c r="X271">
        <f>Teacher_Data[[#This Row],[End_Date]]-Teacher_Data[[#This Row],[Start_Date]]</f>
        <v>41</v>
      </c>
      <c r="Y271" t="str">
        <f>_xlfn.IFS(Teacher_Data[[#This Row],[Experience_Years]]&lt;=5,"0-5 Years",Teacher_Data[[#This Row],[Experience_Years]]&lt;=10,"5-10 Years",Teacher_Data[[#This Row],[Experience_Years]]&lt;=20,"11-20 Years",TRUE,"20+ Years")</f>
        <v>11-20 Years</v>
      </c>
    </row>
    <row r="272" spans="1:25" x14ac:dyDescent="0.3">
      <c r="A272" t="s">
        <v>637</v>
      </c>
      <c r="B272" t="s">
        <v>56</v>
      </c>
      <c r="C272" t="s">
        <v>35</v>
      </c>
      <c r="D272">
        <v>37</v>
      </c>
      <c r="E272" t="s">
        <v>57</v>
      </c>
      <c r="F272" t="s">
        <v>67</v>
      </c>
      <c r="G272" t="s">
        <v>76</v>
      </c>
      <c r="H272" t="s">
        <v>26</v>
      </c>
      <c r="I272" t="s">
        <v>51</v>
      </c>
      <c r="J272" s="1">
        <v>45419</v>
      </c>
      <c r="K272" s="1">
        <v>45442</v>
      </c>
      <c r="L272" t="s">
        <v>52</v>
      </c>
      <c r="M272" s="2">
        <v>58</v>
      </c>
      <c r="N272">
        <v>68</v>
      </c>
      <c r="O272" t="s">
        <v>53</v>
      </c>
      <c r="P272">
        <v>18</v>
      </c>
      <c r="Q272" t="s">
        <v>68</v>
      </c>
      <c r="R272" t="s">
        <v>62</v>
      </c>
      <c r="S272" t="s">
        <v>638</v>
      </c>
      <c r="T272">
        <v>11</v>
      </c>
      <c r="U272" t="str">
        <f>IF(Teacher_Data[[#This Row],[Completion_Status]]="Completed","Yes","No")</f>
        <v>Yes</v>
      </c>
      <c r="V272">
        <f>IF(Teacher_Data[[#This Row],[Completion_Status]]="Completed",1,0)</f>
        <v>1</v>
      </c>
      <c r="W272">
        <f>1</f>
        <v>1</v>
      </c>
      <c r="X272">
        <f>Teacher_Data[[#This Row],[End_Date]]-Teacher_Data[[#This Row],[Start_Date]]</f>
        <v>23</v>
      </c>
      <c r="Y272" t="str">
        <f>_xlfn.IFS(Teacher_Data[[#This Row],[Experience_Years]]&lt;=5,"0-5 Years",Teacher_Data[[#This Row],[Experience_Years]]&lt;=10,"5-10 Years",Teacher_Data[[#This Row],[Experience_Years]]&lt;=20,"11-20 Years",TRUE,"20+ Years")</f>
        <v>11-20 Years</v>
      </c>
    </row>
    <row r="273" spans="1:25" x14ac:dyDescent="0.3">
      <c r="A273" t="s">
        <v>639</v>
      </c>
      <c r="B273" t="s">
        <v>229</v>
      </c>
      <c r="C273" t="s">
        <v>22</v>
      </c>
      <c r="D273">
        <v>28</v>
      </c>
      <c r="E273" t="s">
        <v>57</v>
      </c>
      <c r="F273" t="s">
        <v>83</v>
      </c>
      <c r="G273" t="s">
        <v>76</v>
      </c>
      <c r="H273" t="s">
        <v>39</v>
      </c>
      <c r="I273" t="s">
        <v>46</v>
      </c>
      <c r="J273" s="1">
        <v>45563</v>
      </c>
      <c r="K273" s="1">
        <v>45603</v>
      </c>
      <c r="L273" t="s">
        <v>60</v>
      </c>
      <c r="M273" s="2">
        <v>29</v>
      </c>
      <c r="O273" t="s">
        <v>29</v>
      </c>
      <c r="P273">
        <v>55</v>
      </c>
      <c r="Q273" t="s">
        <v>61</v>
      </c>
      <c r="R273" t="s">
        <v>41</v>
      </c>
      <c r="S273" t="s">
        <v>640</v>
      </c>
      <c r="T273">
        <v>4</v>
      </c>
      <c r="U273" t="str">
        <f>IF(Teacher_Data[[#This Row],[Completion_Status]]="Completed","Yes","No")</f>
        <v>No</v>
      </c>
      <c r="V273">
        <f>IF(Teacher_Data[[#This Row],[Completion_Status]]="Completed",1,0)</f>
        <v>0</v>
      </c>
      <c r="W273">
        <f>1</f>
        <v>1</v>
      </c>
      <c r="X273">
        <f>Teacher_Data[[#This Row],[End_Date]]-Teacher_Data[[#This Row],[Start_Date]]</f>
        <v>40</v>
      </c>
      <c r="Y273" t="str">
        <f>_xlfn.IFS(Teacher_Data[[#This Row],[Experience_Years]]&lt;=5,"0-5 Years",Teacher_Data[[#This Row],[Experience_Years]]&lt;=10,"5-10 Years",Teacher_Data[[#This Row],[Experience_Years]]&lt;=20,"11-20 Years",TRUE,"20+ Years")</f>
        <v>0-5 Years</v>
      </c>
    </row>
    <row r="274" spans="1:25" x14ac:dyDescent="0.3">
      <c r="A274" t="s">
        <v>641</v>
      </c>
      <c r="B274" t="s">
        <v>281</v>
      </c>
      <c r="C274" t="s">
        <v>35</v>
      </c>
      <c r="D274">
        <v>59</v>
      </c>
      <c r="E274" t="s">
        <v>66</v>
      </c>
      <c r="F274" t="s">
        <v>100</v>
      </c>
      <c r="G274" t="s">
        <v>38</v>
      </c>
      <c r="H274" t="s">
        <v>59</v>
      </c>
      <c r="I274" t="s">
        <v>51</v>
      </c>
      <c r="J274" s="1">
        <v>45518</v>
      </c>
      <c r="K274" s="1">
        <v>45542</v>
      </c>
      <c r="L274" t="s">
        <v>52</v>
      </c>
      <c r="M274" s="2">
        <v>88</v>
      </c>
      <c r="N274">
        <v>76</v>
      </c>
      <c r="O274" t="s">
        <v>53</v>
      </c>
      <c r="P274">
        <v>53</v>
      </c>
      <c r="Q274" t="s">
        <v>61</v>
      </c>
      <c r="R274" t="s">
        <v>72</v>
      </c>
      <c r="S274" t="s">
        <v>642</v>
      </c>
      <c r="T274">
        <v>23</v>
      </c>
      <c r="U274" t="str">
        <f>IF(Teacher_Data[[#This Row],[Completion_Status]]="Completed","Yes","No")</f>
        <v>Yes</v>
      </c>
      <c r="V274">
        <f>IF(Teacher_Data[[#This Row],[Completion_Status]]="Completed",1,0)</f>
        <v>1</v>
      </c>
      <c r="W274">
        <f>1</f>
        <v>1</v>
      </c>
      <c r="X274">
        <f>Teacher_Data[[#This Row],[End_Date]]-Teacher_Data[[#This Row],[Start_Date]]</f>
        <v>24</v>
      </c>
      <c r="Y274" t="str">
        <f>_xlfn.IFS(Teacher_Data[[#This Row],[Experience_Years]]&lt;=5,"0-5 Years",Teacher_Data[[#This Row],[Experience_Years]]&lt;=10,"5-10 Years",Teacher_Data[[#This Row],[Experience_Years]]&lt;=20,"11-20 Years",TRUE,"20+ Years")</f>
        <v>20+ Years</v>
      </c>
    </row>
    <row r="275" spans="1:25" x14ac:dyDescent="0.3">
      <c r="A275" t="s">
        <v>643</v>
      </c>
      <c r="B275" t="s">
        <v>94</v>
      </c>
      <c r="C275" t="s">
        <v>22</v>
      </c>
      <c r="D275">
        <v>47</v>
      </c>
      <c r="E275" t="s">
        <v>57</v>
      </c>
      <c r="F275" t="s">
        <v>100</v>
      </c>
      <c r="G275" t="s">
        <v>38</v>
      </c>
      <c r="H275" t="s">
        <v>59</v>
      </c>
      <c r="I275" t="s">
        <v>27</v>
      </c>
      <c r="J275" s="1">
        <v>45436</v>
      </c>
      <c r="K275" s="1">
        <v>45482</v>
      </c>
      <c r="L275" t="s">
        <v>60</v>
      </c>
      <c r="M275" s="2">
        <v>22</v>
      </c>
      <c r="O275" t="s">
        <v>29</v>
      </c>
      <c r="P275">
        <v>12</v>
      </c>
      <c r="Q275" t="s">
        <v>30</v>
      </c>
      <c r="R275" t="s">
        <v>104</v>
      </c>
      <c r="S275" t="s">
        <v>644</v>
      </c>
      <c r="T275">
        <v>9</v>
      </c>
      <c r="U275" t="str">
        <f>IF(Teacher_Data[[#This Row],[Completion_Status]]="Completed","Yes","No")</f>
        <v>No</v>
      </c>
      <c r="V275">
        <f>IF(Teacher_Data[[#This Row],[Completion_Status]]="Completed",1,0)</f>
        <v>0</v>
      </c>
      <c r="W275">
        <f>1</f>
        <v>1</v>
      </c>
      <c r="X275">
        <f>Teacher_Data[[#This Row],[End_Date]]-Teacher_Data[[#This Row],[Start_Date]]</f>
        <v>46</v>
      </c>
      <c r="Y275" t="str">
        <f>_xlfn.IFS(Teacher_Data[[#This Row],[Experience_Years]]&lt;=5,"0-5 Years",Teacher_Data[[#This Row],[Experience_Years]]&lt;=10,"5-10 Years",Teacher_Data[[#This Row],[Experience_Years]]&lt;=20,"11-20 Years",TRUE,"20+ Years")</f>
        <v>5-10 Years</v>
      </c>
    </row>
    <row r="276" spans="1:25" x14ac:dyDescent="0.3">
      <c r="A276" t="s">
        <v>645</v>
      </c>
      <c r="B276" t="s">
        <v>103</v>
      </c>
      <c r="C276" t="s">
        <v>35</v>
      </c>
      <c r="D276">
        <v>44</v>
      </c>
      <c r="E276" t="s">
        <v>57</v>
      </c>
      <c r="F276" t="s">
        <v>67</v>
      </c>
      <c r="G276" t="s">
        <v>45</v>
      </c>
      <c r="H276" t="s">
        <v>50</v>
      </c>
      <c r="I276" t="s">
        <v>46</v>
      </c>
      <c r="J276" s="1">
        <v>45353</v>
      </c>
      <c r="K276" s="1">
        <v>45386</v>
      </c>
      <c r="L276" t="s">
        <v>52</v>
      </c>
      <c r="M276" s="2">
        <v>100</v>
      </c>
      <c r="N276">
        <v>96</v>
      </c>
      <c r="O276" t="s">
        <v>53</v>
      </c>
      <c r="P276">
        <v>45</v>
      </c>
      <c r="Q276" t="s">
        <v>40</v>
      </c>
      <c r="R276" t="s">
        <v>104</v>
      </c>
      <c r="S276" t="s">
        <v>646</v>
      </c>
      <c r="T276">
        <v>20</v>
      </c>
      <c r="U276" t="str">
        <f>IF(Teacher_Data[[#This Row],[Completion_Status]]="Completed","Yes","No")</f>
        <v>Yes</v>
      </c>
      <c r="V276">
        <f>IF(Teacher_Data[[#This Row],[Completion_Status]]="Completed",1,0)</f>
        <v>1</v>
      </c>
      <c r="W276">
        <f>1</f>
        <v>1</v>
      </c>
      <c r="X276">
        <f>Teacher_Data[[#This Row],[End_Date]]-Teacher_Data[[#This Row],[Start_Date]]</f>
        <v>33</v>
      </c>
      <c r="Y276" t="str">
        <f>_xlfn.IFS(Teacher_Data[[#This Row],[Experience_Years]]&lt;=5,"0-5 Years",Teacher_Data[[#This Row],[Experience_Years]]&lt;=10,"5-10 Years",Teacher_Data[[#This Row],[Experience_Years]]&lt;=20,"11-20 Years",TRUE,"20+ Years")</f>
        <v>11-20 Years</v>
      </c>
    </row>
    <row r="277" spans="1:25" x14ac:dyDescent="0.3">
      <c r="A277" t="s">
        <v>647</v>
      </c>
      <c r="B277" t="s">
        <v>118</v>
      </c>
      <c r="C277" t="s">
        <v>35</v>
      </c>
      <c r="D277">
        <v>23</v>
      </c>
      <c r="E277" t="s">
        <v>23</v>
      </c>
      <c r="F277" t="s">
        <v>67</v>
      </c>
      <c r="G277" t="s">
        <v>45</v>
      </c>
      <c r="H277" t="s">
        <v>50</v>
      </c>
      <c r="I277" t="s">
        <v>27</v>
      </c>
      <c r="J277" s="1">
        <v>45495</v>
      </c>
      <c r="K277" s="1">
        <v>45536</v>
      </c>
      <c r="L277" t="s">
        <v>60</v>
      </c>
      <c r="M277" s="2">
        <v>37</v>
      </c>
      <c r="O277" t="s">
        <v>29</v>
      </c>
      <c r="P277">
        <v>19</v>
      </c>
      <c r="Q277" t="s">
        <v>68</v>
      </c>
      <c r="R277" t="s">
        <v>104</v>
      </c>
      <c r="S277" t="s">
        <v>648</v>
      </c>
      <c r="T277">
        <v>1</v>
      </c>
      <c r="U277" t="str">
        <f>IF(Teacher_Data[[#This Row],[Completion_Status]]="Completed","Yes","No")</f>
        <v>No</v>
      </c>
      <c r="V277">
        <f>IF(Teacher_Data[[#This Row],[Completion_Status]]="Completed",1,0)</f>
        <v>0</v>
      </c>
      <c r="W277">
        <f>1</f>
        <v>1</v>
      </c>
      <c r="X277">
        <f>Teacher_Data[[#This Row],[End_Date]]-Teacher_Data[[#This Row],[Start_Date]]</f>
        <v>41</v>
      </c>
      <c r="Y277" t="str">
        <f>_xlfn.IFS(Teacher_Data[[#This Row],[Experience_Years]]&lt;=5,"0-5 Years",Teacher_Data[[#This Row],[Experience_Years]]&lt;=10,"5-10 Years",Teacher_Data[[#This Row],[Experience_Years]]&lt;=20,"11-20 Years",TRUE,"20+ Years")</f>
        <v>0-5 Years</v>
      </c>
    </row>
    <row r="278" spans="1:25" x14ac:dyDescent="0.3">
      <c r="A278" t="s">
        <v>649</v>
      </c>
      <c r="B278" t="s">
        <v>79</v>
      </c>
      <c r="C278" t="s">
        <v>22</v>
      </c>
      <c r="D278">
        <v>39</v>
      </c>
      <c r="E278" t="s">
        <v>36</v>
      </c>
      <c r="F278" t="s">
        <v>37</v>
      </c>
      <c r="G278" t="s">
        <v>45</v>
      </c>
      <c r="H278" t="s">
        <v>59</v>
      </c>
      <c r="I278" t="s">
        <v>46</v>
      </c>
      <c r="J278" s="1">
        <v>45434</v>
      </c>
      <c r="K278" s="1">
        <v>45473</v>
      </c>
      <c r="L278" t="s">
        <v>60</v>
      </c>
      <c r="M278" s="2">
        <v>11</v>
      </c>
      <c r="O278" t="s">
        <v>29</v>
      </c>
      <c r="P278">
        <v>52</v>
      </c>
      <c r="Q278" t="s">
        <v>40</v>
      </c>
      <c r="R278" t="s">
        <v>104</v>
      </c>
      <c r="S278" t="s">
        <v>650</v>
      </c>
      <c r="T278">
        <v>20</v>
      </c>
      <c r="U278" t="str">
        <f>IF(Teacher_Data[[#This Row],[Completion_Status]]="Completed","Yes","No")</f>
        <v>No</v>
      </c>
      <c r="V278">
        <f>IF(Teacher_Data[[#This Row],[Completion_Status]]="Completed",1,0)</f>
        <v>0</v>
      </c>
      <c r="W278">
        <f>1</f>
        <v>1</v>
      </c>
      <c r="X278">
        <f>Teacher_Data[[#This Row],[End_Date]]-Teacher_Data[[#This Row],[Start_Date]]</f>
        <v>39</v>
      </c>
      <c r="Y278" t="str">
        <f>_xlfn.IFS(Teacher_Data[[#This Row],[Experience_Years]]&lt;=5,"0-5 Years",Teacher_Data[[#This Row],[Experience_Years]]&lt;=10,"5-10 Years",Teacher_Data[[#This Row],[Experience_Years]]&lt;=20,"11-20 Years",TRUE,"20+ Years")</f>
        <v>11-20 Years</v>
      </c>
    </row>
    <row r="279" spans="1:25" x14ac:dyDescent="0.3">
      <c r="A279" t="s">
        <v>651</v>
      </c>
      <c r="B279" t="s">
        <v>82</v>
      </c>
      <c r="C279" t="s">
        <v>22</v>
      </c>
      <c r="D279">
        <v>47</v>
      </c>
      <c r="E279" t="s">
        <v>36</v>
      </c>
      <c r="F279" t="s">
        <v>83</v>
      </c>
      <c r="G279" t="s">
        <v>58</v>
      </c>
      <c r="H279" t="s">
        <v>50</v>
      </c>
      <c r="I279" t="s">
        <v>51</v>
      </c>
      <c r="J279" s="1">
        <v>45335</v>
      </c>
      <c r="K279" s="1">
        <v>45377</v>
      </c>
      <c r="L279" t="s">
        <v>52</v>
      </c>
      <c r="M279" s="2">
        <v>95</v>
      </c>
      <c r="N279">
        <v>92</v>
      </c>
      <c r="O279" t="s">
        <v>53</v>
      </c>
      <c r="P279">
        <v>22</v>
      </c>
      <c r="Q279" t="s">
        <v>68</v>
      </c>
      <c r="R279" t="s">
        <v>72</v>
      </c>
      <c r="S279" t="s">
        <v>652</v>
      </c>
      <c r="T279">
        <v>33</v>
      </c>
      <c r="U279" t="str">
        <f>IF(Teacher_Data[[#This Row],[Completion_Status]]="Completed","Yes","No")</f>
        <v>Yes</v>
      </c>
      <c r="V279">
        <f>IF(Teacher_Data[[#This Row],[Completion_Status]]="Completed",1,0)</f>
        <v>1</v>
      </c>
      <c r="W279">
        <f>1</f>
        <v>1</v>
      </c>
      <c r="X279">
        <f>Teacher_Data[[#This Row],[End_Date]]-Teacher_Data[[#This Row],[Start_Date]]</f>
        <v>42</v>
      </c>
      <c r="Y279" t="str">
        <f>_xlfn.IFS(Teacher_Data[[#This Row],[Experience_Years]]&lt;=5,"0-5 Years",Teacher_Data[[#This Row],[Experience_Years]]&lt;=10,"5-10 Years",Teacher_Data[[#This Row],[Experience_Years]]&lt;=20,"11-20 Years",TRUE,"20+ Years")</f>
        <v>20+ Years</v>
      </c>
    </row>
    <row r="280" spans="1:25" x14ac:dyDescent="0.3">
      <c r="A280" t="s">
        <v>653</v>
      </c>
      <c r="B280" t="s">
        <v>115</v>
      </c>
      <c r="C280" t="s">
        <v>22</v>
      </c>
      <c r="D280">
        <v>57</v>
      </c>
      <c r="E280" t="s">
        <v>57</v>
      </c>
      <c r="F280" t="s">
        <v>83</v>
      </c>
      <c r="G280" t="s">
        <v>25</v>
      </c>
      <c r="H280" t="s">
        <v>39</v>
      </c>
      <c r="I280" t="s">
        <v>46</v>
      </c>
      <c r="J280" s="1">
        <v>45524</v>
      </c>
      <c r="K280" s="1">
        <v>45556</v>
      </c>
      <c r="L280" t="s">
        <v>28</v>
      </c>
      <c r="M280" s="2">
        <v>93</v>
      </c>
      <c r="O280" t="s">
        <v>29</v>
      </c>
      <c r="P280">
        <v>7</v>
      </c>
      <c r="Q280" t="s">
        <v>61</v>
      </c>
      <c r="R280" t="s">
        <v>41</v>
      </c>
      <c r="S280" t="s">
        <v>654</v>
      </c>
      <c r="T280">
        <v>4</v>
      </c>
      <c r="U280" t="str">
        <f>IF(Teacher_Data[[#This Row],[Completion_Status]]="Completed","Yes","No")</f>
        <v>No</v>
      </c>
      <c r="V280">
        <f>IF(Teacher_Data[[#This Row],[Completion_Status]]="Completed",1,0)</f>
        <v>0</v>
      </c>
      <c r="W280">
        <f>1</f>
        <v>1</v>
      </c>
      <c r="X280">
        <f>Teacher_Data[[#This Row],[End_Date]]-Teacher_Data[[#This Row],[Start_Date]]</f>
        <v>32</v>
      </c>
      <c r="Y280" t="str">
        <f>_xlfn.IFS(Teacher_Data[[#This Row],[Experience_Years]]&lt;=5,"0-5 Years",Teacher_Data[[#This Row],[Experience_Years]]&lt;=10,"5-10 Years",Teacher_Data[[#This Row],[Experience_Years]]&lt;=20,"11-20 Years",TRUE,"20+ Years")</f>
        <v>0-5 Years</v>
      </c>
    </row>
    <row r="281" spans="1:25" x14ac:dyDescent="0.3">
      <c r="A281" t="s">
        <v>655</v>
      </c>
      <c r="B281" t="s">
        <v>79</v>
      </c>
      <c r="C281" t="s">
        <v>22</v>
      </c>
      <c r="D281">
        <v>47</v>
      </c>
      <c r="E281" t="s">
        <v>23</v>
      </c>
      <c r="F281" t="s">
        <v>24</v>
      </c>
      <c r="G281" t="s">
        <v>76</v>
      </c>
      <c r="H281" t="s">
        <v>50</v>
      </c>
      <c r="I281" t="s">
        <v>46</v>
      </c>
      <c r="J281" s="1">
        <v>45543</v>
      </c>
      <c r="K281" s="1">
        <v>45559</v>
      </c>
      <c r="L281" t="s">
        <v>52</v>
      </c>
      <c r="M281" s="2">
        <v>41</v>
      </c>
      <c r="N281">
        <v>63</v>
      </c>
      <c r="O281" t="s">
        <v>53</v>
      </c>
      <c r="P281">
        <v>33</v>
      </c>
      <c r="Q281" t="s">
        <v>30</v>
      </c>
      <c r="R281" t="s">
        <v>72</v>
      </c>
      <c r="S281" t="s">
        <v>656</v>
      </c>
      <c r="T281">
        <v>16</v>
      </c>
      <c r="U281" t="str">
        <f>IF(Teacher_Data[[#This Row],[Completion_Status]]="Completed","Yes","No")</f>
        <v>Yes</v>
      </c>
      <c r="V281">
        <f>IF(Teacher_Data[[#This Row],[Completion_Status]]="Completed",1,0)</f>
        <v>1</v>
      </c>
      <c r="W281">
        <f>1</f>
        <v>1</v>
      </c>
      <c r="X281">
        <f>Teacher_Data[[#This Row],[End_Date]]-Teacher_Data[[#This Row],[Start_Date]]</f>
        <v>16</v>
      </c>
      <c r="Y281" t="str">
        <f>_xlfn.IFS(Teacher_Data[[#This Row],[Experience_Years]]&lt;=5,"0-5 Years",Teacher_Data[[#This Row],[Experience_Years]]&lt;=10,"5-10 Years",Teacher_Data[[#This Row],[Experience_Years]]&lt;=20,"11-20 Years",TRUE,"20+ Years")</f>
        <v>11-20 Years</v>
      </c>
    </row>
    <row r="282" spans="1:25" x14ac:dyDescent="0.3">
      <c r="A282" t="s">
        <v>657</v>
      </c>
      <c r="B282" t="s">
        <v>179</v>
      </c>
      <c r="C282" t="s">
        <v>35</v>
      </c>
      <c r="D282">
        <v>55</v>
      </c>
      <c r="E282" t="s">
        <v>23</v>
      </c>
      <c r="F282" t="s">
        <v>67</v>
      </c>
      <c r="G282" t="s">
        <v>76</v>
      </c>
      <c r="H282" t="s">
        <v>50</v>
      </c>
      <c r="I282" t="s">
        <v>46</v>
      </c>
      <c r="J282" s="1">
        <v>45410</v>
      </c>
      <c r="K282" s="1">
        <v>45456</v>
      </c>
      <c r="L282" t="s">
        <v>52</v>
      </c>
      <c r="M282" s="2">
        <v>56</v>
      </c>
      <c r="N282">
        <v>90</v>
      </c>
      <c r="O282" t="s">
        <v>53</v>
      </c>
      <c r="P282">
        <v>6</v>
      </c>
      <c r="Q282" t="s">
        <v>40</v>
      </c>
      <c r="R282" t="s">
        <v>62</v>
      </c>
      <c r="S282" t="s">
        <v>658</v>
      </c>
      <c r="T282">
        <v>35</v>
      </c>
      <c r="U282" t="str">
        <f>IF(Teacher_Data[[#This Row],[Completion_Status]]="Completed","Yes","No")</f>
        <v>Yes</v>
      </c>
      <c r="V282">
        <f>IF(Teacher_Data[[#This Row],[Completion_Status]]="Completed",1,0)</f>
        <v>1</v>
      </c>
      <c r="W282">
        <f>1</f>
        <v>1</v>
      </c>
      <c r="X282">
        <f>Teacher_Data[[#This Row],[End_Date]]-Teacher_Data[[#This Row],[Start_Date]]</f>
        <v>46</v>
      </c>
      <c r="Y282" t="str">
        <f>_xlfn.IFS(Teacher_Data[[#This Row],[Experience_Years]]&lt;=5,"0-5 Years",Teacher_Data[[#This Row],[Experience_Years]]&lt;=10,"5-10 Years",Teacher_Data[[#This Row],[Experience_Years]]&lt;=20,"11-20 Years",TRUE,"20+ Years")</f>
        <v>20+ Years</v>
      </c>
    </row>
    <row r="283" spans="1:25" x14ac:dyDescent="0.3">
      <c r="A283" t="s">
        <v>659</v>
      </c>
      <c r="B283" t="s">
        <v>103</v>
      </c>
      <c r="C283" t="s">
        <v>35</v>
      </c>
      <c r="D283">
        <v>44</v>
      </c>
      <c r="E283" t="s">
        <v>36</v>
      </c>
      <c r="F283" t="s">
        <v>37</v>
      </c>
      <c r="G283" t="s">
        <v>45</v>
      </c>
      <c r="H283" t="s">
        <v>50</v>
      </c>
      <c r="I283" t="s">
        <v>46</v>
      </c>
      <c r="J283" s="1">
        <v>45385</v>
      </c>
      <c r="K283" s="1">
        <v>45430</v>
      </c>
      <c r="L283" t="s">
        <v>52</v>
      </c>
      <c r="M283" s="2">
        <v>100</v>
      </c>
      <c r="N283">
        <v>71</v>
      </c>
      <c r="O283" t="s">
        <v>53</v>
      </c>
      <c r="P283">
        <v>39</v>
      </c>
      <c r="Q283" t="s">
        <v>30</v>
      </c>
      <c r="R283" t="s">
        <v>31</v>
      </c>
      <c r="S283" t="s">
        <v>660</v>
      </c>
      <c r="T283">
        <v>31</v>
      </c>
      <c r="U283" t="str">
        <f>IF(Teacher_Data[[#This Row],[Completion_Status]]="Completed","Yes","No")</f>
        <v>Yes</v>
      </c>
      <c r="V283">
        <f>IF(Teacher_Data[[#This Row],[Completion_Status]]="Completed",1,0)</f>
        <v>1</v>
      </c>
      <c r="W283">
        <f>1</f>
        <v>1</v>
      </c>
      <c r="X283">
        <f>Teacher_Data[[#This Row],[End_Date]]-Teacher_Data[[#This Row],[Start_Date]]</f>
        <v>45</v>
      </c>
      <c r="Y283" t="str">
        <f>_xlfn.IFS(Teacher_Data[[#This Row],[Experience_Years]]&lt;=5,"0-5 Years",Teacher_Data[[#This Row],[Experience_Years]]&lt;=10,"5-10 Years",Teacher_Data[[#This Row],[Experience_Years]]&lt;=20,"11-20 Years",TRUE,"20+ Years")</f>
        <v>20+ Years</v>
      </c>
    </row>
    <row r="284" spans="1:25" x14ac:dyDescent="0.3">
      <c r="A284" t="s">
        <v>661</v>
      </c>
      <c r="B284" t="s">
        <v>107</v>
      </c>
      <c r="C284" t="s">
        <v>22</v>
      </c>
      <c r="D284">
        <v>25</v>
      </c>
      <c r="E284" t="s">
        <v>66</v>
      </c>
      <c r="F284" t="s">
        <v>67</v>
      </c>
      <c r="G284" t="s">
        <v>38</v>
      </c>
      <c r="H284" t="s">
        <v>26</v>
      </c>
      <c r="I284" t="s">
        <v>46</v>
      </c>
      <c r="J284" s="1">
        <v>45330</v>
      </c>
      <c r="K284" s="1">
        <v>45346</v>
      </c>
      <c r="L284" t="s">
        <v>52</v>
      </c>
      <c r="M284" s="2">
        <v>41</v>
      </c>
      <c r="N284">
        <v>84</v>
      </c>
      <c r="O284" t="s">
        <v>53</v>
      </c>
      <c r="P284">
        <v>12</v>
      </c>
      <c r="Q284" t="s">
        <v>40</v>
      </c>
      <c r="R284" t="s">
        <v>31</v>
      </c>
      <c r="S284" t="s">
        <v>662</v>
      </c>
      <c r="T284">
        <v>27</v>
      </c>
      <c r="U284" t="str">
        <f>IF(Teacher_Data[[#This Row],[Completion_Status]]="Completed","Yes","No")</f>
        <v>Yes</v>
      </c>
      <c r="V284">
        <f>IF(Teacher_Data[[#This Row],[Completion_Status]]="Completed",1,0)</f>
        <v>1</v>
      </c>
      <c r="W284">
        <f>1</f>
        <v>1</v>
      </c>
      <c r="X284">
        <f>Teacher_Data[[#This Row],[End_Date]]-Teacher_Data[[#This Row],[Start_Date]]</f>
        <v>16</v>
      </c>
      <c r="Y284" t="str">
        <f>_xlfn.IFS(Teacher_Data[[#This Row],[Experience_Years]]&lt;=5,"0-5 Years",Teacher_Data[[#This Row],[Experience_Years]]&lt;=10,"5-10 Years",Teacher_Data[[#This Row],[Experience_Years]]&lt;=20,"11-20 Years",TRUE,"20+ Years")</f>
        <v>20+ Years</v>
      </c>
    </row>
    <row r="285" spans="1:25" x14ac:dyDescent="0.3">
      <c r="A285" t="s">
        <v>663</v>
      </c>
      <c r="B285" t="s">
        <v>179</v>
      </c>
      <c r="C285" t="s">
        <v>22</v>
      </c>
      <c r="D285">
        <v>53</v>
      </c>
      <c r="E285" t="s">
        <v>23</v>
      </c>
      <c r="F285" t="s">
        <v>37</v>
      </c>
      <c r="G285" t="s">
        <v>25</v>
      </c>
      <c r="H285" t="s">
        <v>59</v>
      </c>
      <c r="I285" t="s">
        <v>46</v>
      </c>
      <c r="J285" s="1">
        <v>45346</v>
      </c>
      <c r="K285" s="1">
        <v>45383</v>
      </c>
      <c r="L285" t="s">
        <v>52</v>
      </c>
      <c r="M285" s="2">
        <v>52</v>
      </c>
      <c r="N285">
        <v>50</v>
      </c>
      <c r="O285" t="s">
        <v>53</v>
      </c>
      <c r="P285">
        <v>6</v>
      </c>
      <c r="Q285" t="s">
        <v>61</v>
      </c>
      <c r="R285" t="s">
        <v>41</v>
      </c>
      <c r="S285" t="s">
        <v>664</v>
      </c>
      <c r="T285">
        <v>16</v>
      </c>
      <c r="U285" t="str">
        <f>IF(Teacher_Data[[#This Row],[Completion_Status]]="Completed","Yes","No")</f>
        <v>Yes</v>
      </c>
      <c r="V285">
        <f>IF(Teacher_Data[[#This Row],[Completion_Status]]="Completed",1,0)</f>
        <v>1</v>
      </c>
      <c r="W285">
        <f>1</f>
        <v>1</v>
      </c>
      <c r="X285">
        <f>Teacher_Data[[#This Row],[End_Date]]-Teacher_Data[[#This Row],[Start_Date]]</f>
        <v>37</v>
      </c>
      <c r="Y285" t="str">
        <f>_xlfn.IFS(Teacher_Data[[#This Row],[Experience_Years]]&lt;=5,"0-5 Years",Teacher_Data[[#This Row],[Experience_Years]]&lt;=10,"5-10 Years",Teacher_Data[[#This Row],[Experience_Years]]&lt;=20,"11-20 Years",TRUE,"20+ Years")</f>
        <v>11-20 Years</v>
      </c>
    </row>
    <row r="286" spans="1:25" x14ac:dyDescent="0.3">
      <c r="A286" t="s">
        <v>665</v>
      </c>
      <c r="B286" t="s">
        <v>118</v>
      </c>
      <c r="C286" t="s">
        <v>22</v>
      </c>
      <c r="D286">
        <v>28</v>
      </c>
      <c r="E286" t="s">
        <v>36</v>
      </c>
      <c r="F286" t="s">
        <v>100</v>
      </c>
      <c r="G286" t="s">
        <v>25</v>
      </c>
      <c r="H286" t="s">
        <v>26</v>
      </c>
      <c r="I286" t="s">
        <v>27</v>
      </c>
      <c r="J286" s="1">
        <v>45335</v>
      </c>
      <c r="K286" s="1">
        <v>45389</v>
      </c>
      <c r="L286" t="s">
        <v>60</v>
      </c>
      <c r="M286" s="2">
        <v>8</v>
      </c>
      <c r="O286" t="s">
        <v>29</v>
      </c>
      <c r="P286">
        <v>11</v>
      </c>
      <c r="Q286" t="s">
        <v>68</v>
      </c>
      <c r="R286" t="s">
        <v>104</v>
      </c>
      <c r="S286" t="s">
        <v>666</v>
      </c>
      <c r="T286">
        <v>6</v>
      </c>
      <c r="U286" t="str">
        <f>IF(Teacher_Data[[#This Row],[Completion_Status]]="Completed","Yes","No")</f>
        <v>No</v>
      </c>
      <c r="V286">
        <f>IF(Teacher_Data[[#This Row],[Completion_Status]]="Completed",1,0)</f>
        <v>0</v>
      </c>
      <c r="W286">
        <f>1</f>
        <v>1</v>
      </c>
      <c r="X286">
        <f>Teacher_Data[[#This Row],[End_Date]]-Teacher_Data[[#This Row],[Start_Date]]</f>
        <v>54</v>
      </c>
      <c r="Y286" t="str">
        <f>_xlfn.IFS(Teacher_Data[[#This Row],[Experience_Years]]&lt;=5,"0-5 Years",Teacher_Data[[#This Row],[Experience_Years]]&lt;=10,"5-10 Years",Teacher_Data[[#This Row],[Experience_Years]]&lt;=20,"11-20 Years",TRUE,"20+ Years")</f>
        <v>5-10 Years</v>
      </c>
    </row>
    <row r="287" spans="1:25" x14ac:dyDescent="0.3">
      <c r="A287" t="s">
        <v>667</v>
      </c>
      <c r="B287" t="s">
        <v>49</v>
      </c>
      <c r="C287" t="s">
        <v>35</v>
      </c>
      <c r="D287">
        <v>40</v>
      </c>
      <c r="E287" t="s">
        <v>66</v>
      </c>
      <c r="F287" t="s">
        <v>37</v>
      </c>
      <c r="G287" t="s">
        <v>76</v>
      </c>
      <c r="H287" t="s">
        <v>59</v>
      </c>
      <c r="I287" t="s">
        <v>27</v>
      </c>
      <c r="J287" s="1">
        <v>45551</v>
      </c>
      <c r="K287" s="1">
        <v>45587</v>
      </c>
      <c r="L287" t="s">
        <v>52</v>
      </c>
      <c r="M287" s="2">
        <v>57</v>
      </c>
      <c r="N287">
        <v>60</v>
      </c>
      <c r="O287" t="s">
        <v>53</v>
      </c>
      <c r="P287">
        <v>8</v>
      </c>
      <c r="Q287" t="s">
        <v>30</v>
      </c>
      <c r="R287" t="s">
        <v>31</v>
      </c>
      <c r="S287" t="s">
        <v>668</v>
      </c>
      <c r="T287">
        <v>2</v>
      </c>
      <c r="U287" t="str">
        <f>IF(Teacher_Data[[#This Row],[Completion_Status]]="Completed","Yes","No")</f>
        <v>Yes</v>
      </c>
      <c r="V287">
        <f>IF(Teacher_Data[[#This Row],[Completion_Status]]="Completed",1,0)</f>
        <v>1</v>
      </c>
      <c r="W287">
        <f>1</f>
        <v>1</v>
      </c>
      <c r="X287">
        <f>Teacher_Data[[#This Row],[End_Date]]-Teacher_Data[[#This Row],[Start_Date]]</f>
        <v>36</v>
      </c>
      <c r="Y287" t="str">
        <f>_xlfn.IFS(Teacher_Data[[#This Row],[Experience_Years]]&lt;=5,"0-5 Years",Teacher_Data[[#This Row],[Experience_Years]]&lt;=10,"5-10 Years",Teacher_Data[[#This Row],[Experience_Years]]&lt;=20,"11-20 Years",TRUE,"20+ Years")</f>
        <v>0-5 Years</v>
      </c>
    </row>
    <row r="288" spans="1:25" x14ac:dyDescent="0.3">
      <c r="A288" t="s">
        <v>669</v>
      </c>
      <c r="B288" t="s">
        <v>103</v>
      </c>
      <c r="C288" t="s">
        <v>35</v>
      </c>
      <c r="D288">
        <v>49</v>
      </c>
      <c r="E288" t="s">
        <v>66</v>
      </c>
      <c r="F288" t="s">
        <v>83</v>
      </c>
      <c r="G288" t="s">
        <v>25</v>
      </c>
      <c r="H288" t="s">
        <v>26</v>
      </c>
      <c r="I288" t="s">
        <v>27</v>
      </c>
      <c r="J288" s="1">
        <v>45588</v>
      </c>
      <c r="K288" s="1">
        <v>45609</v>
      </c>
      <c r="L288" t="s">
        <v>28</v>
      </c>
      <c r="M288" s="2">
        <v>98</v>
      </c>
      <c r="O288" t="s">
        <v>29</v>
      </c>
      <c r="P288">
        <v>16</v>
      </c>
      <c r="Q288" t="s">
        <v>68</v>
      </c>
      <c r="R288" t="s">
        <v>104</v>
      </c>
      <c r="S288" t="s">
        <v>670</v>
      </c>
      <c r="T288">
        <v>5</v>
      </c>
      <c r="U288" t="str">
        <f>IF(Teacher_Data[[#This Row],[Completion_Status]]="Completed","Yes","No")</f>
        <v>No</v>
      </c>
      <c r="V288">
        <f>IF(Teacher_Data[[#This Row],[Completion_Status]]="Completed",1,0)</f>
        <v>0</v>
      </c>
      <c r="W288">
        <f>1</f>
        <v>1</v>
      </c>
      <c r="X288">
        <f>Teacher_Data[[#This Row],[End_Date]]-Teacher_Data[[#This Row],[Start_Date]]</f>
        <v>21</v>
      </c>
      <c r="Y288" t="str">
        <f>_xlfn.IFS(Teacher_Data[[#This Row],[Experience_Years]]&lt;=5,"0-5 Years",Teacher_Data[[#This Row],[Experience_Years]]&lt;=10,"5-10 Years",Teacher_Data[[#This Row],[Experience_Years]]&lt;=20,"11-20 Years",TRUE,"20+ Years")</f>
        <v>0-5 Years</v>
      </c>
    </row>
    <row r="289" spans="1:25" x14ac:dyDescent="0.3">
      <c r="A289" t="s">
        <v>671</v>
      </c>
      <c r="B289" t="s">
        <v>118</v>
      </c>
      <c r="C289" t="s">
        <v>35</v>
      </c>
      <c r="D289">
        <v>23</v>
      </c>
      <c r="E289" t="s">
        <v>23</v>
      </c>
      <c r="F289" t="s">
        <v>83</v>
      </c>
      <c r="G289" t="s">
        <v>25</v>
      </c>
      <c r="H289" t="s">
        <v>50</v>
      </c>
      <c r="I289" t="s">
        <v>51</v>
      </c>
      <c r="J289" s="1">
        <v>45480</v>
      </c>
      <c r="K289" s="1">
        <v>45512</v>
      </c>
      <c r="L289" t="s">
        <v>28</v>
      </c>
      <c r="M289" s="2">
        <v>76</v>
      </c>
      <c r="O289" t="s">
        <v>29</v>
      </c>
      <c r="P289">
        <v>21</v>
      </c>
      <c r="Q289" t="s">
        <v>61</v>
      </c>
      <c r="R289" t="s">
        <v>31</v>
      </c>
      <c r="S289" t="s">
        <v>672</v>
      </c>
      <c r="T289">
        <v>32</v>
      </c>
      <c r="U289" t="str">
        <f>IF(Teacher_Data[[#This Row],[Completion_Status]]="Completed","Yes","No")</f>
        <v>No</v>
      </c>
      <c r="V289">
        <f>IF(Teacher_Data[[#This Row],[Completion_Status]]="Completed",1,0)</f>
        <v>0</v>
      </c>
      <c r="W289">
        <f>1</f>
        <v>1</v>
      </c>
      <c r="X289">
        <f>Teacher_Data[[#This Row],[End_Date]]-Teacher_Data[[#This Row],[Start_Date]]</f>
        <v>32</v>
      </c>
      <c r="Y289" t="str">
        <f>_xlfn.IFS(Teacher_Data[[#This Row],[Experience_Years]]&lt;=5,"0-5 Years",Teacher_Data[[#This Row],[Experience_Years]]&lt;=10,"5-10 Years",Teacher_Data[[#This Row],[Experience_Years]]&lt;=20,"11-20 Years",TRUE,"20+ Years")</f>
        <v>20+ Years</v>
      </c>
    </row>
    <row r="290" spans="1:25" x14ac:dyDescent="0.3">
      <c r="A290" t="s">
        <v>673</v>
      </c>
      <c r="B290" t="s">
        <v>118</v>
      </c>
      <c r="C290" t="s">
        <v>35</v>
      </c>
      <c r="D290">
        <v>39</v>
      </c>
      <c r="E290" t="s">
        <v>57</v>
      </c>
      <c r="F290" t="s">
        <v>67</v>
      </c>
      <c r="G290" t="s">
        <v>76</v>
      </c>
      <c r="H290" t="s">
        <v>59</v>
      </c>
      <c r="I290" t="s">
        <v>46</v>
      </c>
      <c r="J290" s="1">
        <v>45368</v>
      </c>
      <c r="K290" s="1">
        <v>45395</v>
      </c>
      <c r="L290" t="s">
        <v>52</v>
      </c>
      <c r="M290" s="2">
        <v>76</v>
      </c>
      <c r="N290">
        <v>86</v>
      </c>
      <c r="O290" t="s">
        <v>53</v>
      </c>
      <c r="P290">
        <v>11</v>
      </c>
      <c r="Q290" t="s">
        <v>30</v>
      </c>
      <c r="R290" t="s">
        <v>72</v>
      </c>
      <c r="S290" t="s">
        <v>674</v>
      </c>
      <c r="T290">
        <v>30</v>
      </c>
      <c r="U290" t="str">
        <f>IF(Teacher_Data[[#This Row],[Completion_Status]]="Completed","Yes","No")</f>
        <v>Yes</v>
      </c>
      <c r="V290">
        <f>IF(Teacher_Data[[#This Row],[Completion_Status]]="Completed",1,0)</f>
        <v>1</v>
      </c>
      <c r="W290">
        <f>1</f>
        <v>1</v>
      </c>
      <c r="X290">
        <f>Teacher_Data[[#This Row],[End_Date]]-Teacher_Data[[#This Row],[Start_Date]]</f>
        <v>27</v>
      </c>
      <c r="Y290" t="str">
        <f>_xlfn.IFS(Teacher_Data[[#This Row],[Experience_Years]]&lt;=5,"0-5 Years",Teacher_Data[[#This Row],[Experience_Years]]&lt;=10,"5-10 Years",Teacher_Data[[#This Row],[Experience_Years]]&lt;=20,"11-20 Years",TRUE,"20+ Years")</f>
        <v>20+ Years</v>
      </c>
    </row>
    <row r="291" spans="1:25" x14ac:dyDescent="0.3">
      <c r="A291" t="s">
        <v>675</v>
      </c>
      <c r="B291" t="s">
        <v>179</v>
      </c>
      <c r="C291" t="s">
        <v>35</v>
      </c>
      <c r="D291">
        <v>57</v>
      </c>
      <c r="E291" t="s">
        <v>23</v>
      </c>
      <c r="F291" t="s">
        <v>24</v>
      </c>
      <c r="G291" t="s">
        <v>45</v>
      </c>
      <c r="H291" t="s">
        <v>39</v>
      </c>
      <c r="I291" t="s">
        <v>27</v>
      </c>
      <c r="J291" s="1">
        <v>45407</v>
      </c>
      <c r="K291" s="1">
        <v>45448</v>
      </c>
      <c r="L291" t="s">
        <v>28</v>
      </c>
      <c r="M291" s="2">
        <v>66</v>
      </c>
      <c r="O291" t="s">
        <v>29</v>
      </c>
      <c r="P291">
        <v>37</v>
      </c>
      <c r="Q291" t="s">
        <v>30</v>
      </c>
      <c r="R291" t="s">
        <v>31</v>
      </c>
      <c r="S291" t="s">
        <v>676</v>
      </c>
      <c r="T291">
        <v>29</v>
      </c>
      <c r="U291" t="str">
        <f>IF(Teacher_Data[[#This Row],[Completion_Status]]="Completed","Yes","No")</f>
        <v>No</v>
      </c>
      <c r="V291">
        <f>IF(Teacher_Data[[#This Row],[Completion_Status]]="Completed",1,0)</f>
        <v>0</v>
      </c>
      <c r="W291">
        <f>1</f>
        <v>1</v>
      </c>
      <c r="X291">
        <f>Teacher_Data[[#This Row],[End_Date]]-Teacher_Data[[#This Row],[Start_Date]]</f>
        <v>41</v>
      </c>
      <c r="Y291" t="str">
        <f>_xlfn.IFS(Teacher_Data[[#This Row],[Experience_Years]]&lt;=5,"0-5 Years",Teacher_Data[[#This Row],[Experience_Years]]&lt;=10,"5-10 Years",Teacher_Data[[#This Row],[Experience_Years]]&lt;=20,"11-20 Years",TRUE,"20+ Years")</f>
        <v>20+ Years</v>
      </c>
    </row>
    <row r="292" spans="1:25" x14ac:dyDescent="0.3">
      <c r="A292" t="s">
        <v>677</v>
      </c>
      <c r="B292" t="s">
        <v>167</v>
      </c>
      <c r="C292" t="s">
        <v>35</v>
      </c>
      <c r="D292">
        <v>28</v>
      </c>
      <c r="E292" t="s">
        <v>23</v>
      </c>
      <c r="F292" t="s">
        <v>24</v>
      </c>
      <c r="G292" t="s">
        <v>58</v>
      </c>
      <c r="H292" t="s">
        <v>50</v>
      </c>
      <c r="I292" t="s">
        <v>46</v>
      </c>
      <c r="J292" s="1">
        <v>45506</v>
      </c>
      <c r="K292" s="1">
        <v>45539</v>
      </c>
      <c r="L292" t="s">
        <v>60</v>
      </c>
      <c r="M292" s="2">
        <v>0</v>
      </c>
      <c r="O292" t="s">
        <v>29</v>
      </c>
      <c r="P292">
        <v>19</v>
      </c>
      <c r="Q292" t="s">
        <v>30</v>
      </c>
      <c r="R292" t="s">
        <v>72</v>
      </c>
      <c r="S292" t="s">
        <v>678</v>
      </c>
      <c r="T292">
        <v>27</v>
      </c>
      <c r="U292" t="str">
        <f>IF(Teacher_Data[[#This Row],[Completion_Status]]="Completed","Yes","No")</f>
        <v>No</v>
      </c>
      <c r="V292">
        <f>IF(Teacher_Data[[#This Row],[Completion_Status]]="Completed",1,0)</f>
        <v>0</v>
      </c>
      <c r="W292">
        <f>1</f>
        <v>1</v>
      </c>
      <c r="X292">
        <f>Teacher_Data[[#This Row],[End_Date]]-Teacher_Data[[#This Row],[Start_Date]]</f>
        <v>33</v>
      </c>
      <c r="Y292" t="str">
        <f>_xlfn.IFS(Teacher_Data[[#This Row],[Experience_Years]]&lt;=5,"0-5 Years",Teacher_Data[[#This Row],[Experience_Years]]&lt;=10,"5-10 Years",Teacher_Data[[#This Row],[Experience_Years]]&lt;=20,"11-20 Years",TRUE,"20+ Years")</f>
        <v>20+ Years</v>
      </c>
    </row>
    <row r="293" spans="1:25" x14ac:dyDescent="0.3">
      <c r="A293" t="s">
        <v>679</v>
      </c>
      <c r="B293" t="s">
        <v>185</v>
      </c>
      <c r="C293" t="s">
        <v>22</v>
      </c>
      <c r="D293">
        <v>33</v>
      </c>
      <c r="E293" t="s">
        <v>57</v>
      </c>
      <c r="F293" t="s">
        <v>83</v>
      </c>
      <c r="G293" t="s">
        <v>25</v>
      </c>
      <c r="H293" t="s">
        <v>26</v>
      </c>
      <c r="I293" t="s">
        <v>27</v>
      </c>
      <c r="J293" s="1">
        <v>45505</v>
      </c>
      <c r="K293" s="1">
        <v>45534</v>
      </c>
      <c r="L293" t="s">
        <v>28</v>
      </c>
      <c r="M293" s="2">
        <v>50</v>
      </c>
      <c r="O293" t="s">
        <v>29</v>
      </c>
      <c r="P293">
        <v>42</v>
      </c>
      <c r="Q293" t="s">
        <v>68</v>
      </c>
      <c r="R293" t="s">
        <v>41</v>
      </c>
      <c r="S293" t="s">
        <v>680</v>
      </c>
      <c r="T293">
        <v>29</v>
      </c>
      <c r="U293" t="str">
        <f>IF(Teacher_Data[[#This Row],[Completion_Status]]="Completed","Yes","No")</f>
        <v>No</v>
      </c>
      <c r="V293">
        <f>IF(Teacher_Data[[#This Row],[Completion_Status]]="Completed",1,0)</f>
        <v>0</v>
      </c>
      <c r="W293">
        <f>1</f>
        <v>1</v>
      </c>
      <c r="X293">
        <f>Teacher_Data[[#This Row],[End_Date]]-Teacher_Data[[#This Row],[Start_Date]]</f>
        <v>29</v>
      </c>
      <c r="Y293" t="str">
        <f>_xlfn.IFS(Teacher_Data[[#This Row],[Experience_Years]]&lt;=5,"0-5 Years",Teacher_Data[[#This Row],[Experience_Years]]&lt;=10,"5-10 Years",Teacher_Data[[#This Row],[Experience_Years]]&lt;=20,"11-20 Years",TRUE,"20+ Years")</f>
        <v>20+ Years</v>
      </c>
    </row>
    <row r="294" spans="1:25" x14ac:dyDescent="0.3">
      <c r="A294" t="s">
        <v>681</v>
      </c>
      <c r="B294" t="s">
        <v>115</v>
      </c>
      <c r="C294" t="s">
        <v>22</v>
      </c>
      <c r="D294">
        <v>57</v>
      </c>
      <c r="E294" t="s">
        <v>57</v>
      </c>
      <c r="F294" t="s">
        <v>67</v>
      </c>
      <c r="G294" t="s">
        <v>25</v>
      </c>
      <c r="H294" t="s">
        <v>39</v>
      </c>
      <c r="I294" t="s">
        <v>46</v>
      </c>
      <c r="J294" s="1">
        <v>45505</v>
      </c>
      <c r="K294" s="1">
        <v>45518</v>
      </c>
      <c r="L294" t="s">
        <v>28</v>
      </c>
      <c r="M294" s="2">
        <v>76</v>
      </c>
      <c r="O294" t="s">
        <v>29</v>
      </c>
      <c r="P294">
        <v>21</v>
      </c>
      <c r="Q294" t="s">
        <v>30</v>
      </c>
      <c r="R294" t="s">
        <v>31</v>
      </c>
      <c r="S294" t="s">
        <v>682</v>
      </c>
      <c r="T294">
        <v>9</v>
      </c>
      <c r="U294" t="str">
        <f>IF(Teacher_Data[[#This Row],[Completion_Status]]="Completed","Yes","No")</f>
        <v>No</v>
      </c>
      <c r="V294">
        <f>IF(Teacher_Data[[#This Row],[Completion_Status]]="Completed",1,0)</f>
        <v>0</v>
      </c>
      <c r="W294">
        <f>1</f>
        <v>1</v>
      </c>
      <c r="X294">
        <f>Teacher_Data[[#This Row],[End_Date]]-Teacher_Data[[#This Row],[Start_Date]]</f>
        <v>13</v>
      </c>
      <c r="Y294" t="str">
        <f>_xlfn.IFS(Teacher_Data[[#This Row],[Experience_Years]]&lt;=5,"0-5 Years",Teacher_Data[[#This Row],[Experience_Years]]&lt;=10,"5-10 Years",Teacher_Data[[#This Row],[Experience_Years]]&lt;=20,"11-20 Years",TRUE,"20+ Years")</f>
        <v>5-10 Years</v>
      </c>
    </row>
    <row r="295" spans="1:25" x14ac:dyDescent="0.3">
      <c r="A295" t="s">
        <v>683</v>
      </c>
      <c r="B295" t="s">
        <v>89</v>
      </c>
      <c r="C295" t="s">
        <v>22</v>
      </c>
      <c r="D295">
        <v>36</v>
      </c>
      <c r="E295" t="s">
        <v>57</v>
      </c>
      <c r="F295" t="s">
        <v>83</v>
      </c>
      <c r="G295" t="s">
        <v>38</v>
      </c>
      <c r="H295" t="s">
        <v>39</v>
      </c>
      <c r="I295" t="s">
        <v>51</v>
      </c>
      <c r="J295" s="1">
        <v>45540</v>
      </c>
      <c r="K295" s="1">
        <v>45559</v>
      </c>
      <c r="L295" t="s">
        <v>60</v>
      </c>
      <c r="M295" s="2">
        <v>21</v>
      </c>
      <c r="O295" t="s">
        <v>29</v>
      </c>
      <c r="P295">
        <v>8</v>
      </c>
      <c r="Q295" t="s">
        <v>68</v>
      </c>
      <c r="R295" t="s">
        <v>104</v>
      </c>
      <c r="S295" t="s">
        <v>684</v>
      </c>
      <c r="T295">
        <v>27</v>
      </c>
      <c r="U295" t="str">
        <f>IF(Teacher_Data[[#This Row],[Completion_Status]]="Completed","Yes","No")</f>
        <v>No</v>
      </c>
      <c r="V295">
        <f>IF(Teacher_Data[[#This Row],[Completion_Status]]="Completed",1,0)</f>
        <v>0</v>
      </c>
      <c r="W295">
        <f>1</f>
        <v>1</v>
      </c>
      <c r="X295">
        <f>Teacher_Data[[#This Row],[End_Date]]-Teacher_Data[[#This Row],[Start_Date]]</f>
        <v>19</v>
      </c>
      <c r="Y295" t="str">
        <f>_xlfn.IFS(Teacher_Data[[#This Row],[Experience_Years]]&lt;=5,"0-5 Years",Teacher_Data[[#This Row],[Experience_Years]]&lt;=10,"5-10 Years",Teacher_Data[[#This Row],[Experience_Years]]&lt;=20,"11-20 Years",TRUE,"20+ Years")</f>
        <v>20+ Years</v>
      </c>
    </row>
    <row r="296" spans="1:25" x14ac:dyDescent="0.3">
      <c r="A296" t="s">
        <v>685</v>
      </c>
      <c r="B296" t="s">
        <v>238</v>
      </c>
      <c r="C296" t="s">
        <v>22</v>
      </c>
      <c r="D296">
        <v>31</v>
      </c>
      <c r="E296" t="s">
        <v>36</v>
      </c>
      <c r="F296" t="s">
        <v>100</v>
      </c>
      <c r="G296" t="s">
        <v>45</v>
      </c>
      <c r="H296" t="s">
        <v>26</v>
      </c>
      <c r="I296" t="s">
        <v>27</v>
      </c>
      <c r="J296" s="1">
        <v>45510</v>
      </c>
      <c r="K296" s="1">
        <v>45524</v>
      </c>
      <c r="L296" t="s">
        <v>28</v>
      </c>
      <c r="M296" s="2">
        <v>81</v>
      </c>
      <c r="O296" t="s">
        <v>29</v>
      </c>
      <c r="P296">
        <v>15</v>
      </c>
      <c r="Q296" t="s">
        <v>30</v>
      </c>
      <c r="R296" t="s">
        <v>62</v>
      </c>
      <c r="S296" t="s">
        <v>686</v>
      </c>
      <c r="T296">
        <v>28</v>
      </c>
      <c r="U296" t="str">
        <f>IF(Teacher_Data[[#This Row],[Completion_Status]]="Completed","Yes","No")</f>
        <v>No</v>
      </c>
      <c r="V296">
        <f>IF(Teacher_Data[[#This Row],[Completion_Status]]="Completed",1,0)</f>
        <v>0</v>
      </c>
      <c r="W296">
        <f>1</f>
        <v>1</v>
      </c>
      <c r="X296">
        <f>Teacher_Data[[#This Row],[End_Date]]-Teacher_Data[[#This Row],[Start_Date]]</f>
        <v>14</v>
      </c>
      <c r="Y296" t="str">
        <f>_xlfn.IFS(Teacher_Data[[#This Row],[Experience_Years]]&lt;=5,"0-5 Years",Teacher_Data[[#This Row],[Experience_Years]]&lt;=10,"5-10 Years",Teacher_Data[[#This Row],[Experience_Years]]&lt;=20,"11-20 Years",TRUE,"20+ Years")</f>
        <v>20+ Years</v>
      </c>
    </row>
    <row r="297" spans="1:25" x14ac:dyDescent="0.3">
      <c r="A297" t="s">
        <v>687</v>
      </c>
      <c r="B297" t="s">
        <v>118</v>
      </c>
      <c r="C297" t="s">
        <v>35</v>
      </c>
      <c r="D297">
        <v>57</v>
      </c>
      <c r="E297" t="s">
        <v>57</v>
      </c>
      <c r="F297" t="s">
        <v>83</v>
      </c>
      <c r="G297" t="s">
        <v>45</v>
      </c>
      <c r="H297" t="s">
        <v>39</v>
      </c>
      <c r="I297" t="s">
        <v>27</v>
      </c>
      <c r="J297" s="1">
        <v>45347</v>
      </c>
      <c r="K297" s="1">
        <v>45354</v>
      </c>
      <c r="L297" t="s">
        <v>60</v>
      </c>
      <c r="M297" s="2">
        <v>31</v>
      </c>
      <c r="O297" t="s">
        <v>29</v>
      </c>
      <c r="P297">
        <v>35</v>
      </c>
      <c r="Q297" t="s">
        <v>30</v>
      </c>
      <c r="R297" t="s">
        <v>72</v>
      </c>
      <c r="S297" t="s">
        <v>688</v>
      </c>
      <c r="T297">
        <v>23</v>
      </c>
      <c r="U297" t="str">
        <f>IF(Teacher_Data[[#This Row],[Completion_Status]]="Completed","Yes","No")</f>
        <v>No</v>
      </c>
      <c r="V297">
        <f>IF(Teacher_Data[[#This Row],[Completion_Status]]="Completed",1,0)</f>
        <v>0</v>
      </c>
      <c r="W297">
        <f>1</f>
        <v>1</v>
      </c>
      <c r="X297">
        <f>Teacher_Data[[#This Row],[End_Date]]-Teacher_Data[[#This Row],[Start_Date]]</f>
        <v>7</v>
      </c>
      <c r="Y297" t="str">
        <f>_xlfn.IFS(Teacher_Data[[#This Row],[Experience_Years]]&lt;=5,"0-5 Years",Teacher_Data[[#This Row],[Experience_Years]]&lt;=10,"5-10 Years",Teacher_Data[[#This Row],[Experience_Years]]&lt;=20,"11-20 Years",TRUE,"20+ Years")</f>
        <v>20+ Years</v>
      </c>
    </row>
    <row r="298" spans="1:25" x14ac:dyDescent="0.3">
      <c r="A298" t="s">
        <v>689</v>
      </c>
      <c r="B298" t="s">
        <v>79</v>
      </c>
      <c r="C298" t="s">
        <v>22</v>
      </c>
      <c r="D298">
        <v>57</v>
      </c>
      <c r="E298" t="s">
        <v>66</v>
      </c>
      <c r="F298" t="s">
        <v>24</v>
      </c>
      <c r="G298" t="s">
        <v>76</v>
      </c>
      <c r="H298" t="s">
        <v>59</v>
      </c>
      <c r="I298" t="s">
        <v>27</v>
      </c>
      <c r="J298" s="1">
        <v>45521</v>
      </c>
      <c r="K298" s="1">
        <v>45549</v>
      </c>
      <c r="L298" t="s">
        <v>52</v>
      </c>
      <c r="M298" s="2">
        <v>78</v>
      </c>
      <c r="N298">
        <v>86</v>
      </c>
      <c r="O298" t="s">
        <v>53</v>
      </c>
      <c r="P298">
        <v>56</v>
      </c>
      <c r="Q298" t="s">
        <v>68</v>
      </c>
      <c r="R298" t="s">
        <v>31</v>
      </c>
      <c r="S298" t="s">
        <v>690</v>
      </c>
      <c r="T298">
        <v>13</v>
      </c>
      <c r="U298" t="str">
        <f>IF(Teacher_Data[[#This Row],[Completion_Status]]="Completed","Yes","No")</f>
        <v>Yes</v>
      </c>
      <c r="V298">
        <f>IF(Teacher_Data[[#This Row],[Completion_Status]]="Completed",1,0)</f>
        <v>1</v>
      </c>
      <c r="W298">
        <f>1</f>
        <v>1</v>
      </c>
      <c r="X298">
        <f>Teacher_Data[[#This Row],[End_Date]]-Teacher_Data[[#This Row],[Start_Date]]</f>
        <v>28</v>
      </c>
      <c r="Y298" t="str">
        <f>_xlfn.IFS(Teacher_Data[[#This Row],[Experience_Years]]&lt;=5,"0-5 Years",Teacher_Data[[#This Row],[Experience_Years]]&lt;=10,"5-10 Years",Teacher_Data[[#This Row],[Experience_Years]]&lt;=20,"11-20 Years",TRUE,"20+ Years")</f>
        <v>11-20 Years</v>
      </c>
    </row>
    <row r="299" spans="1:25" x14ac:dyDescent="0.3">
      <c r="A299" t="s">
        <v>691</v>
      </c>
      <c r="B299" t="s">
        <v>21</v>
      </c>
      <c r="C299" t="s">
        <v>35</v>
      </c>
      <c r="D299">
        <v>22</v>
      </c>
      <c r="E299" t="s">
        <v>23</v>
      </c>
      <c r="F299" t="s">
        <v>37</v>
      </c>
      <c r="G299" t="s">
        <v>38</v>
      </c>
      <c r="H299" t="s">
        <v>50</v>
      </c>
      <c r="I299" t="s">
        <v>46</v>
      </c>
      <c r="J299" s="1">
        <v>45307</v>
      </c>
      <c r="K299" s="1">
        <v>45361</v>
      </c>
      <c r="L299" t="s">
        <v>60</v>
      </c>
      <c r="M299" s="2">
        <v>38</v>
      </c>
      <c r="O299" t="s">
        <v>29</v>
      </c>
      <c r="P299">
        <v>26</v>
      </c>
      <c r="Q299" t="s">
        <v>68</v>
      </c>
      <c r="R299" t="s">
        <v>62</v>
      </c>
      <c r="S299" t="s">
        <v>692</v>
      </c>
      <c r="T299">
        <v>23</v>
      </c>
      <c r="U299" t="str">
        <f>IF(Teacher_Data[[#This Row],[Completion_Status]]="Completed","Yes","No")</f>
        <v>No</v>
      </c>
      <c r="V299">
        <f>IF(Teacher_Data[[#This Row],[Completion_Status]]="Completed",1,0)</f>
        <v>0</v>
      </c>
      <c r="W299">
        <f>1</f>
        <v>1</v>
      </c>
      <c r="X299">
        <f>Teacher_Data[[#This Row],[End_Date]]-Teacher_Data[[#This Row],[Start_Date]]</f>
        <v>54</v>
      </c>
      <c r="Y299" t="str">
        <f>_xlfn.IFS(Teacher_Data[[#This Row],[Experience_Years]]&lt;=5,"0-5 Years",Teacher_Data[[#This Row],[Experience_Years]]&lt;=10,"5-10 Years",Teacher_Data[[#This Row],[Experience_Years]]&lt;=20,"11-20 Years",TRUE,"20+ Years")</f>
        <v>20+ Years</v>
      </c>
    </row>
    <row r="300" spans="1:25" x14ac:dyDescent="0.3">
      <c r="A300" t="s">
        <v>693</v>
      </c>
      <c r="B300" t="s">
        <v>124</v>
      </c>
      <c r="C300" t="s">
        <v>35</v>
      </c>
      <c r="D300">
        <v>46</v>
      </c>
      <c r="E300" t="s">
        <v>23</v>
      </c>
      <c r="F300" t="s">
        <v>83</v>
      </c>
      <c r="G300" t="s">
        <v>38</v>
      </c>
      <c r="H300" t="s">
        <v>39</v>
      </c>
      <c r="I300" t="s">
        <v>51</v>
      </c>
      <c r="J300" s="1">
        <v>45366</v>
      </c>
      <c r="K300" s="1">
        <v>45403</v>
      </c>
      <c r="L300" t="s">
        <v>60</v>
      </c>
      <c r="M300" s="2">
        <v>11</v>
      </c>
      <c r="O300" t="s">
        <v>29</v>
      </c>
      <c r="P300">
        <v>11</v>
      </c>
      <c r="Q300" t="s">
        <v>30</v>
      </c>
      <c r="R300" t="s">
        <v>104</v>
      </c>
      <c r="S300" t="s">
        <v>694</v>
      </c>
      <c r="T300">
        <v>19</v>
      </c>
      <c r="U300" t="str">
        <f>IF(Teacher_Data[[#This Row],[Completion_Status]]="Completed","Yes","No")</f>
        <v>No</v>
      </c>
      <c r="V300">
        <f>IF(Teacher_Data[[#This Row],[Completion_Status]]="Completed",1,0)</f>
        <v>0</v>
      </c>
      <c r="W300">
        <f>1</f>
        <v>1</v>
      </c>
      <c r="X300">
        <f>Teacher_Data[[#This Row],[End_Date]]-Teacher_Data[[#This Row],[Start_Date]]</f>
        <v>37</v>
      </c>
      <c r="Y300" t="str">
        <f>_xlfn.IFS(Teacher_Data[[#This Row],[Experience_Years]]&lt;=5,"0-5 Years",Teacher_Data[[#This Row],[Experience_Years]]&lt;=10,"5-10 Years",Teacher_Data[[#This Row],[Experience_Years]]&lt;=20,"11-20 Years",TRUE,"20+ Years")</f>
        <v>11-20 Years</v>
      </c>
    </row>
    <row r="301" spans="1:25" x14ac:dyDescent="0.3">
      <c r="A301" t="s">
        <v>695</v>
      </c>
      <c r="B301" t="s">
        <v>281</v>
      </c>
      <c r="C301" t="s">
        <v>22</v>
      </c>
      <c r="D301">
        <v>46</v>
      </c>
      <c r="E301" t="s">
        <v>23</v>
      </c>
      <c r="F301" t="s">
        <v>100</v>
      </c>
      <c r="G301" t="s">
        <v>25</v>
      </c>
      <c r="H301" t="s">
        <v>59</v>
      </c>
      <c r="I301" t="s">
        <v>27</v>
      </c>
      <c r="J301" s="1">
        <v>45414</v>
      </c>
      <c r="K301" s="1">
        <v>45430</v>
      </c>
      <c r="L301" t="s">
        <v>52</v>
      </c>
      <c r="M301" s="2">
        <v>79</v>
      </c>
      <c r="N301">
        <v>70</v>
      </c>
      <c r="O301" t="s">
        <v>53</v>
      </c>
      <c r="P301">
        <v>28</v>
      </c>
      <c r="Q301" t="s">
        <v>40</v>
      </c>
      <c r="R301" t="s">
        <v>41</v>
      </c>
      <c r="S301" t="s">
        <v>696</v>
      </c>
      <c r="T301">
        <v>29</v>
      </c>
      <c r="U301" t="str">
        <f>IF(Teacher_Data[[#This Row],[Completion_Status]]="Completed","Yes","No")</f>
        <v>Yes</v>
      </c>
      <c r="V301">
        <f>IF(Teacher_Data[[#This Row],[Completion_Status]]="Completed",1,0)</f>
        <v>1</v>
      </c>
      <c r="W301">
        <f>1</f>
        <v>1</v>
      </c>
      <c r="X301">
        <f>Teacher_Data[[#This Row],[End_Date]]-Teacher_Data[[#This Row],[Start_Date]]</f>
        <v>16</v>
      </c>
      <c r="Y301" t="str">
        <f>_xlfn.IFS(Teacher_Data[[#This Row],[Experience_Years]]&lt;=5,"0-5 Years",Teacher_Data[[#This Row],[Experience_Years]]&lt;=10,"5-10 Years",Teacher_Data[[#This Row],[Experience_Years]]&lt;=20,"11-20 Years",TRUE,"20+ Years")</f>
        <v>20+ Years</v>
      </c>
    </row>
    <row r="302" spans="1:25" x14ac:dyDescent="0.3">
      <c r="A302" t="s">
        <v>697</v>
      </c>
      <c r="B302" t="s">
        <v>238</v>
      </c>
      <c r="C302" t="s">
        <v>22</v>
      </c>
      <c r="D302">
        <v>26</v>
      </c>
      <c r="E302" t="s">
        <v>23</v>
      </c>
      <c r="F302" t="s">
        <v>83</v>
      </c>
      <c r="G302" t="s">
        <v>25</v>
      </c>
      <c r="H302" t="s">
        <v>59</v>
      </c>
      <c r="I302" t="s">
        <v>51</v>
      </c>
      <c r="J302" s="1">
        <v>45408</v>
      </c>
      <c r="K302" s="1">
        <v>45431</v>
      </c>
      <c r="L302" t="s">
        <v>60</v>
      </c>
      <c r="M302" s="2">
        <v>16</v>
      </c>
      <c r="O302" t="s">
        <v>29</v>
      </c>
      <c r="P302">
        <v>10</v>
      </c>
      <c r="Q302" t="s">
        <v>40</v>
      </c>
      <c r="R302" t="s">
        <v>104</v>
      </c>
      <c r="S302" t="s">
        <v>698</v>
      </c>
      <c r="T302">
        <v>11</v>
      </c>
      <c r="U302" t="str">
        <f>IF(Teacher_Data[[#This Row],[Completion_Status]]="Completed","Yes","No")</f>
        <v>No</v>
      </c>
      <c r="V302">
        <f>IF(Teacher_Data[[#This Row],[Completion_Status]]="Completed",1,0)</f>
        <v>0</v>
      </c>
      <c r="W302">
        <f>1</f>
        <v>1</v>
      </c>
      <c r="X302">
        <f>Teacher_Data[[#This Row],[End_Date]]-Teacher_Data[[#This Row],[Start_Date]]</f>
        <v>23</v>
      </c>
      <c r="Y302" t="str">
        <f>_xlfn.IFS(Teacher_Data[[#This Row],[Experience_Years]]&lt;=5,"0-5 Years",Teacher_Data[[#This Row],[Experience_Years]]&lt;=10,"5-10 Years",Teacher_Data[[#This Row],[Experience_Years]]&lt;=20,"11-20 Years",TRUE,"20+ Years")</f>
        <v>11-20 Years</v>
      </c>
    </row>
    <row r="303" spans="1:25" x14ac:dyDescent="0.3">
      <c r="A303" t="s">
        <v>699</v>
      </c>
      <c r="B303" t="s">
        <v>94</v>
      </c>
      <c r="C303" t="s">
        <v>22</v>
      </c>
      <c r="D303">
        <v>27</v>
      </c>
      <c r="E303" t="s">
        <v>66</v>
      </c>
      <c r="F303" t="s">
        <v>67</v>
      </c>
      <c r="G303" t="s">
        <v>38</v>
      </c>
      <c r="H303" t="s">
        <v>59</v>
      </c>
      <c r="I303" t="s">
        <v>51</v>
      </c>
      <c r="J303" s="1">
        <v>45362</v>
      </c>
      <c r="K303" s="1">
        <v>45415</v>
      </c>
      <c r="L303" t="s">
        <v>28</v>
      </c>
      <c r="M303" s="2">
        <v>49</v>
      </c>
      <c r="O303" t="s">
        <v>29</v>
      </c>
      <c r="P303">
        <v>41</v>
      </c>
      <c r="Q303" t="s">
        <v>68</v>
      </c>
      <c r="R303" t="s">
        <v>41</v>
      </c>
      <c r="S303" t="s">
        <v>700</v>
      </c>
      <c r="T303">
        <v>10</v>
      </c>
      <c r="U303" t="str">
        <f>IF(Teacher_Data[[#This Row],[Completion_Status]]="Completed","Yes","No")</f>
        <v>No</v>
      </c>
      <c r="V303">
        <f>IF(Teacher_Data[[#This Row],[Completion_Status]]="Completed",1,0)</f>
        <v>0</v>
      </c>
      <c r="W303">
        <f>1</f>
        <v>1</v>
      </c>
      <c r="X303">
        <f>Teacher_Data[[#This Row],[End_Date]]-Teacher_Data[[#This Row],[Start_Date]]</f>
        <v>53</v>
      </c>
      <c r="Y303" t="str">
        <f>_xlfn.IFS(Teacher_Data[[#This Row],[Experience_Years]]&lt;=5,"0-5 Years",Teacher_Data[[#This Row],[Experience_Years]]&lt;=10,"5-10 Years",Teacher_Data[[#This Row],[Experience_Years]]&lt;=20,"11-20 Years",TRUE,"20+ Years")</f>
        <v>5-10 Years</v>
      </c>
    </row>
    <row r="304" spans="1:25" x14ac:dyDescent="0.3">
      <c r="A304" t="s">
        <v>701</v>
      </c>
      <c r="B304" t="s">
        <v>118</v>
      </c>
      <c r="C304" t="s">
        <v>35</v>
      </c>
      <c r="D304">
        <v>34</v>
      </c>
      <c r="E304" t="s">
        <v>36</v>
      </c>
      <c r="F304" t="s">
        <v>24</v>
      </c>
      <c r="G304" t="s">
        <v>76</v>
      </c>
      <c r="H304" t="s">
        <v>26</v>
      </c>
      <c r="I304" t="s">
        <v>46</v>
      </c>
      <c r="J304" s="1">
        <v>45499</v>
      </c>
      <c r="K304" s="1">
        <v>45558</v>
      </c>
      <c r="L304" t="s">
        <v>60</v>
      </c>
      <c r="M304" s="2">
        <v>38</v>
      </c>
      <c r="O304" t="s">
        <v>29</v>
      </c>
      <c r="P304">
        <v>48</v>
      </c>
      <c r="Q304" t="s">
        <v>40</v>
      </c>
      <c r="R304" t="s">
        <v>62</v>
      </c>
      <c r="S304" t="s">
        <v>702</v>
      </c>
      <c r="T304">
        <v>30</v>
      </c>
      <c r="U304" t="str">
        <f>IF(Teacher_Data[[#This Row],[Completion_Status]]="Completed","Yes","No")</f>
        <v>No</v>
      </c>
      <c r="V304">
        <f>IF(Teacher_Data[[#This Row],[Completion_Status]]="Completed",1,0)</f>
        <v>0</v>
      </c>
      <c r="W304">
        <f>1</f>
        <v>1</v>
      </c>
      <c r="X304">
        <f>Teacher_Data[[#This Row],[End_Date]]-Teacher_Data[[#This Row],[Start_Date]]</f>
        <v>59</v>
      </c>
      <c r="Y304" t="str">
        <f>_xlfn.IFS(Teacher_Data[[#This Row],[Experience_Years]]&lt;=5,"0-5 Years",Teacher_Data[[#This Row],[Experience_Years]]&lt;=10,"5-10 Years",Teacher_Data[[#This Row],[Experience_Years]]&lt;=20,"11-20 Years",TRUE,"20+ Years")</f>
        <v>20+ Years</v>
      </c>
    </row>
    <row r="305" spans="1:25" x14ac:dyDescent="0.3">
      <c r="A305" t="s">
        <v>703</v>
      </c>
      <c r="B305" t="s">
        <v>75</v>
      </c>
      <c r="C305" t="s">
        <v>35</v>
      </c>
      <c r="D305">
        <v>25</v>
      </c>
      <c r="E305" t="s">
        <v>66</v>
      </c>
      <c r="F305" t="s">
        <v>37</v>
      </c>
      <c r="G305" t="s">
        <v>58</v>
      </c>
      <c r="H305" t="s">
        <v>26</v>
      </c>
      <c r="I305" t="s">
        <v>51</v>
      </c>
      <c r="J305" s="1">
        <v>45414</v>
      </c>
      <c r="K305" s="1">
        <v>45427</v>
      </c>
      <c r="L305" t="s">
        <v>60</v>
      </c>
      <c r="M305" s="2">
        <v>16</v>
      </c>
      <c r="O305" t="s">
        <v>29</v>
      </c>
      <c r="P305">
        <v>49</v>
      </c>
      <c r="Q305" t="s">
        <v>68</v>
      </c>
      <c r="R305" t="s">
        <v>62</v>
      </c>
      <c r="S305" t="s">
        <v>704</v>
      </c>
      <c r="T305">
        <v>9</v>
      </c>
      <c r="U305" t="str">
        <f>IF(Teacher_Data[[#This Row],[Completion_Status]]="Completed","Yes","No")</f>
        <v>No</v>
      </c>
      <c r="V305">
        <f>IF(Teacher_Data[[#This Row],[Completion_Status]]="Completed",1,0)</f>
        <v>0</v>
      </c>
      <c r="W305">
        <f>1</f>
        <v>1</v>
      </c>
      <c r="X305">
        <f>Teacher_Data[[#This Row],[End_Date]]-Teacher_Data[[#This Row],[Start_Date]]</f>
        <v>13</v>
      </c>
      <c r="Y305" t="str">
        <f>_xlfn.IFS(Teacher_Data[[#This Row],[Experience_Years]]&lt;=5,"0-5 Years",Teacher_Data[[#This Row],[Experience_Years]]&lt;=10,"5-10 Years",Teacher_Data[[#This Row],[Experience_Years]]&lt;=20,"11-20 Years",TRUE,"20+ Years")</f>
        <v>5-10 Years</v>
      </c>
    </row>
    <row r="306" spans="1:25" x14ac:dyDescent="0.3">
      <c r="A306" t="s">
        <v>705</v>
      </c>
      <c r="B306" t="s">
        <v>145</v>
      </c>
      <c r="C306" t="s">
        <v>35</v>
      </c>
      <c r="D306">
        <v>27</v>
      </c>
      <c r="E306" t="s">
        <v>36</v>
      </c>
      <c r="F306" t="s">
        <v>37</v>
      </c>
      <c r="G306" t="s">
        <v>38</v>
      </c>
      <c r="H306" t="s">
        <v>50</v>
      </c>
      <c r="I306" t="s">
        <v>27</v>
      </c>
      <c r="J306" s="1">
        <v>45472</v>
      </c>
      <c r="K306" s="1">
        <v>45517</v>
      </c>
      <c r="L306" t="s">
        <v>52</v>
      </c>
      <c r="M306" s="2">
        <v>46</v>
      </c>
      <c r="N306">
        <v>56</v>
      </c>
      <c r="O306" t="s">
        <v>53</v>
      </c>
      <c r="P306">
        <v>19</v>
      </c>
      <c r="Q306" t="s">
        <v>68</v>
      </c>
      <c r="R306" t="s">
        <v>41</v>
      </c>
      <c r="S306" t="s">
        <v>706</v>
      </c>
      <c r="T306">
        <v>35</v>
      </c>
      <c r="U306" t="str">
        <f>IF(Teacher_Data[[#This Row],[Completion_Status]]="Completed","Yes","No")</f>
        <v>Yes</v>
      </c>
      <c r="V306">
        <f>IF(Teacher_Data[[#This Row],[Completion_Status]]="Completed",1,0)</f>
        <v>1</v>
      </c>
      <c r="W306">
        <f>1</f>
        <v>1</v>
      </c>
      <c r="X306">
        <f>Teacher_Data[[#This Row],[End_Date]]-Teacher_Data[[#This Row],[Start_Date]]</f>
        <v>45</v>
      </c>
      <c r="Y306" t="str">
        <f>_xlfn.IFS(Teacher_Data[[#This Row],[Experience_Years]]&lt;=5,"0-5 Years",Teacher_Data[[#This Row],[Experience_Years]]&lt;=10,"5-10 Years",Teacher_Data[[#This Row],[Experience_Years]]&lt;=20,"11-20 Years",TRUE,"20+ Years")</f>
        <v>20+ Years</v>
      </c>
    </row>
    <row r="307" spans="1:25" x14ac:dyDescent="0.3">
      <c r="A307" t="s">
        <v>707</v>
      </c>
      <c r="B307" t="s">
        <v>140</v>
      </c>
      <c r="C307" t="s">
        <v>35</v>
      </c>
      <c r="D307">
        <v>44</v>
      </c>
      <c r="E307" t="s">
        <v>57</v>
      </c>
      <c r="F307" t="s">
        <v>24</v>
      </c>
      <c r="G307" t="s">
        <v>25</v>
      </c>
      <c r="H307" t="s">
        <v>26</v>
      </c>
      <c r="I307" t="s">
        <v>46</v>
      </c>
      <c r="J307" s="1">
        <v>45296</v>
      </c>
      <c r="K307" s="1">
        <v>45305</v>
      </c>
      <c r="L307" t="s">
        <v>52</v>
      </c>
      <c r="M307" s="2">
        <v>69</v>
      </c>
      <c r="N307">
        <v>91</v>
      </c>
      <c r="O307" t="s">
        <v>53</v>
      </c>
      <c r="P307">
        <v>28</v>
      </c>
      <c r="Q307" t="s">
        <v>61</v>
      </c>
      <c r="R307" t="s">
        <v>31</v>
      </c>
      <c r="S307" t="s">
        <v>708</v>
      </c>
      <c r="T307">
        <v>13</v>
      </c>
      <c r="U307" t="str">
        <f>IF(Teacher_Data[[#This Row],[Completion_Status]]="Completed","Yes","No")</f>
        <v>Yes</v>
      </c>
      <c r="V307">
        <f>IF(Teacher_Data[[#This Row],[Completion_Status]]="Completed",1,0)</f>
        <v>1</v>
      </c>
      <c r="W307">
        <f>1</f>
        <v>1</v>
      </c>
      <c r="X307">
        <f>Teacher_Data[[#This Row],[End_Date]]-Teacher_Data[[#This Row],[Start_Date]]</f>
        <v>9</v>
      </c>
      <c r="Y307" t="str">
        <f>_xlfn.IFS(Teacher_Data[[#This Row],[Experience_Years]]&lt;=5,"0-5 Years",Teacher_Data[[#This Row],[Experience_Years]]&lt;=10,"5-10 Years",Teacher_Data[[#This Row],[Experience_Years]]&lt;=20,"11-20 Years",TRUE,"20+ Years")</f>
        <v>11-20 Years</v>
      </c>
    </row>
    <row r="308" spans="1:25" x14ac:dyDescent="0.3">
      <c r="A308" t="s">
        <v>709</v>
      </c>
      <c r="B308" t="s">
        <v>308</v>
      </c>
      <c r="C308" t="s">
        <v>35</v>
      </c>
      <c r="D308">
        <v>27</v>
      </c>
      <c r="E308" t="s">
        <v>57</v>
      </c>
      <c r="F308" t="s">
        <v>83</v>
      </c>
      <c r="G308" t="s">
        <v>45</v>
      </c>
      <c r="H308" t="s">
        <v>59</v>
      </c>
      <c r="I308" t="s">
        <v>51</v>
      </c>
      <c r="J308" s="1">
        <v>45472</v>
      </c>
      <c r="K308" s="1">
        <v>45517</v>
      </c>
      <c r="L308" t="s">
        <v>28</v>
      </c>
      <c r="M308" s="2">
        <v>97</v>
      </c>
      <c r="O308" t="s">
        <v>29</v>
      </c>
      <c r="P308">
        <v>53</v>
      </c>
      <c r="Q308" t="s">
        <v>30</v>
      </c>
      <c r="R308" t="s">
        <v>31</v>
      </c>
      <c r="S308" t="s">
        <v>710</v>
      </c>
      <c r="T308">
        <v>27</v>
      </c>
      <c r="U308" t="str">
        <f>IF(Teacher_Data[[#This Row],[Completion_Status]]="Completed","Yes","No")</f>
        <v>No</v>
      </c>
      <c r="V308">
        <f>IF(Teacher_Data[[#This Row],[Completion_Status]]="Completed",1,0)</f>
        <v>0</v>
      </c>
      <c r="W308">
        <f>1</f>
        <v>1</v>
      </c>
      <c r="X308">
        <f>Teacher_Data[[#This Row],[End_Date]]-Teacher_Data[[#This Row],[Start_Date]]</f>
        <v>45</v>
      </c>
      <c r="Y308" t="str">
        <f>_xlfn.IFS(Teacher_Data[[#This Row],[Experience_Years]]&lt;=5,"0-5 Years",Teacher_Data[[#This Row],[Experience_Years]]&lt;=10,"5-10 Years",Teacher_Data[[#This Row],[Experience_Years]]&lt;=20,"11-20 Years",TRUE,"20+ Years")</f>
        <v>20+ Years</v>
      </c>
    </row>
    <row r="309" spans="1:25" x14ac:dyDescent="0.3">
      <c r="A309" t="s">
        <v>711</v>
      </c>
      <c r="B309" t="s">
        <v>179</v>
      </c>
      <c r="C309" t="s">
        <v>35</v>
      </c>
      <c r="D309">
        <v>29</v>
      </c>
      <c r="E309" t="s">
        <v>36</v>
      </c>
      <c r="F309" t="s">
        <v>100</v>
      </c>
      <c r="G309" t="s">
        <v>45</v>
      </c>
      <c r="H309" t="s">
        <v>26</v>
      </c>
      <c r="I309" t="s">
        <v>51</v>
      </c>
      <c r="J309" s="1">
        <v>45416</v>
      </c>
      <c r="K309" s="1">
        <v>45429</v>
      </c>
      <c r="L309" t="s">
        <v>60</v>
      </c>
      <c r="M309" s="2">
        <v>3</v>
      </c>
      <c r="O309" t="s">
        <v>29</v>
      </c>
      <c r="P309">
        <v>30</v>
      </c>
      <c r="Q309" t="s">
        <v>68</v>
      </c>
      <c r="R309" t="s">
        <v>41</v>
      </c>
      <c r="S309" t="s">
        <v>712</v>
      </c>
      <c r="T309">
        <v>1</v>
      </c>
      <c r="U309" t="str">
        <f>IF(Teacher_Data[[#This Row],[Completion_Status]]="Completed","Yes","No")</f>
        <v>No</v>
      </c>
      <c r="V309">
        <f>IF(Teacher_Data[[#This Row],[Completion_Status]]="Completed",1,0)</f>
        <v>0</v>
      </c>
      <c r="W309">
        <f>1</f>
        <v>1</v>
      </c>
      <c r="X309">
        <f>Teacher_Data[[#This Row],[End_Date]]-Teacher_Data[[#This Row],[Start_Date]]</f>
        <v>13</v>
      </c>
      <c r="Y309" t="str">
        <f>_xlfn.IFS(Teacher_Data[[#This Row],[Experience_Years]]&lt;=5,"0-5 Years",Teacher_Data[[#This Row],[Experience_Years]]&lt;=10,"5-10 Years",Teacher_Data[[#This Row],[Experience_Years]]&lt;=20,"11-20 Years",TRUE,"20+ Years")</f>
        <v>0-5 Years</v>
      </c>
    </row>
    <row r="310" spans="1:25" x14ac:dyDescent="0.3">
      <c r="A310" t="s">
        <v>713</v>
      </c>
      <c r="B310" t="s">
        <v>89</v>
      </c>
      <c r="C310" t="s">
        <v>22</v>
      </c>
      <c r="D310">
        <v>42</v>
      </c>
      <c r="E310" t="s">
        <v>23</v>
      </c>
      <c r="F310" t="s">
        <v>83</v>
      </c>
      <c r="G310" t="s">
        <v>58</v>
      </c>
      <c r="H310" t="s">
        <v>39</v>
      </c>
      <c r="I310" t="s">
        <v>27</v>
      </c>
      <c r="J310" s="1">
        <v>45418</v>
      </c>
      <c r="K310" s="1">
        <v>45428</v>
      </c>
      <c r="L310" t="s">
        <v>60</v>
      </c>
      <c r="M310" s="2">
        <v>27</v>
      </c>
      <c r="O310" t="s">
        <v>29</v>
      </c>
      <c r="P310">
        <v>31</v>
      </c>
      <c r="Q310" t="s">
        <v>68</v>
      </c>
      <c r="R310" t="s">
        <v>31</v>
      </c>
      <c r="S310" t="s">
        <v>714</v>
      </c>
      <c r="T310">
        <v>14</v>
      </c>
      <c r="U310" t="str">
        <f>IF(Teacher_Data[[#This Row],[Completion_Status]]="Completed","Yes","No")</f>
        <v>No</v>
      </c>
      <c r="V310">
        <f>IF(Teacher_Data[[#This Row],[Completion_Status]]="Completed",1,0)</f>
        <v>0</v>
      </c>
      <c r="W310">
        <f>1</f>
        <v>1</v>
      </c>
      <c r="X310">
        <f>Teacher_Data[[#This Row],[End_Date]]-Teacher_Data[[#This Row],[Start_Date]]</f>
        <v>10</v>
      </c>
      <c r="Y310" t="str">
        <f>_xlfn.IFS(Teacher_Data[[#This Row],[Experience_Years]]&lt;=5,"0-5 Years",Teacher_Data[[#This Row],[Experience_Years]]&lt;=10,"5-10 Years",Teacher_Data[[#This Row],[Experience_Years]]&lt;=20,"11-20 Years",TRUE,"20+ Years")</f>
        <v>11-20 Years</v>
      </c>
    </row>
    <row r="311" spans="1:25" x14ac:dyDescent="0.3">
      <c r="A311" t="s">
        <v>715</v>
      </c>
      <c r="B311" t="s">
        <v>229</v>
      </c>
      <c r="C311" t="s">
        <v>22</v>
      </c>
      <c r="D311">
        <v>27</v>
      </c>
      <c r="E311" t="s">
        <v>57</v>
      </c>
      <c r="F311" t="s">
        <v>100</v>
      </c>
      <c r="G311" t="s">
        <v>45</v>
      </c>
      <c r="H311" t="s">
        <v>39</v>
      </c>
      <c r="I311" t="s">
        <v>46</v>
      </c>
      <c r="J311" s="1">
        <v>45579</v>
      </c>
      <c r="K311" s="1">
        <v>45631</v>
      </c>
      <c r="L311" t="s">
        <v>52</v>
      </c>
      <c r="M311" s="2">
        <v>85</v>
      </c>
      <c r="N311">
        <v>53</v>
      </c>
      <c r="O311" t="s">
        <v>53</v>
      </c>
      <c r="P311">
        <v>46</v>
      </c>
      <c r="Q311" t="s">
        <v>30</v>
      </c>
      <c r="R311" t="s">
        <v>62</v>
      </c>
      <c r="S311" t="s">
        <v>716</v>
      </c>
      <c r="T311">
        <v>8</v>
      </c>
      <c r="U311" t="str">
        <f>IF(Teacher_Data[[#This Row],[Completion_Status]]="Completed","Yes","No")</f>
        <v>Yes</v>
      </c>
      <c r="V311">
        <f>IF(Teacher_Data[[#This Row],[Completion_Status]]="Completed",1,0)</f>
        <v>1</v>
      </c>
      <c r="W311">
        <f>1</f>
        <v>1</v>
      </c>
      <c r="X311">
        <f>Teacher_Data[[#This Row],[End_Date]]-Teacher_Data[[#This Row],[Start_Date]]</f>
        <v>52</v>
      </c>
      <c r="Y311" t="str">
        <f>_xlfn.IFS(Teacher_Data[[#This Row],[Experience_Years]]&lt;=5,"0-5 Years",Teacher_Data[[#This Row],[Experience_Years]]&lt;=10,"5-10 Years",Teacher_Data[[#This Row],[Experience_Years]]&lt;=20,"11-20 Years",TRUE,"20+ Years")</f>
        <v>5-10 Years</v>
      </c>
    </row>
    <row r="312" spans="1:25" x14ac:dyDescent="0.3">
      <c r="A312" t="s">
        <v>717</v>
      </c>
      <c r="B312" t="s">
        <v>238</v>
      </c>
      <c r="C312" t="s">
        <v>35</v>
      </c>
      <c r="D312">
        <v>29</v>
      </c>
      <c r="E312" t="s">
        <v>36</v>
      </c>
      <c r="F312" t="s">
        <v>83</v>
      </c>
      <c r="G312" t="s">
        <v>76</v>
      </c>
      <c r="H312" t="s">
        <v>39</v>
      </c>
      <c r="I312" t="s">
        <v>46</v>
      </c>
      <c r="J312" s="1">
        <v>45328</v>
      </c>
      <c r="K312" s="1">
        <v>45363</v>
      </c>
      <c r="L312" t="s">
        <v>60</v>
      </c>
      <c r="M312" s="2">
        <v>34</v>
      </c>
      <c r="O312" t="s">
        <v>29</v>
      </c>
      <c r="P312">
        <v>23</v>
      </c>
      <c r="Q312" t="s">
        <v>68</v>
      </c>
      <c r="R312" t="s">
        <v>104</v>
      </c>
      <c r="S312" t="s">
        <v>718</v>
      </c>
      <c r="T312">
        <v>14</v>
      </c>
      <c r="U312" t="str">
        <f>IF(Teacher_Data[[#This Row],[Completion_Status]]="Completed","Yes","No")</f>
        <v>No</v>
      </c>
      <c r="V312">
        <f>IF(Teacher_Data[[#This Row],[Completion_Status]]="Completed",1,0)</f>
        <v>0</v>
      </c>
      <c r="W312">
        <f>1</f>
        <v>1</v>
      </c>
      <c r="X312">
        <f>Teacher_Data[[#This Row],[End_Date]]-Teacher_Data[[#This Row],[Start_Date]]</f>
        <v>35</v>
      </c>
      <c r="Y312" t="str">
        <f>_xlfn.IFS(Teacher_Data[[#This Row],[Experience_Years]]&lt;=5,"0-5 Years",Teacher_Data[[#This Row],[Experience_Years]]&lt;=10,"5-10 Years",Teacher_Data[[#This Row],[Experience_Years]]&lt;=20,"11-20 Years",TRUE,"20+ Years")</f>
        <v>11-20 Years</v>
      </c>
    </row>
    <row r="313" spans="1:25" x14ac:dyDescent="0.3">
      <c r="A313" t="s">
        <v>719</v>
      </c>
      <c r="B313" t="s">
        <v>89</v>
      </c>
      <c r="C313" t="s">
        <v>22</v>
      </c>
      <c r="D313">
        <v>43</v>
      </c>
      <c r="E313" t="s">
        <v>57</v>
      </c>
      <c r="F313" t="s">
        <v>100</v>
      </c>
      <c r="G313" t="s">
        <v>58</v>
      </c>
      <c r="H313" t="s">
        <v>59</v>
      </c>
      <c r="I313" t="s">
        <v>51</v>
      </c>
      <c r="J313" s="1">
        <v>45361</v>
      </c>
      <c r="K313" s="1">
        <v>45416</v>
      </c>
      <c r="L313" t="s">
        <v>52</v>
      </c>
      <c r="M313" s="2">
        <v>80</v>
      </c>
      <c r="N313">
        <v>53</v>
      </c>
      <c r="O313" t="s">
        <v>53</v>
      </c>
      <c r="P313">
        <v>47</v>
      </c>
      <c r="Q313" t="s">
        <v>61</v>
      </c>
      <c r="R313" t="s">
        <v>62</v>
      </c>
      <c r="S313" t="s">
        <v>720</v>
      </c>
      <c r="T313">
        <v>34</v>
      </c>
      <c r="U313" t="str">
        <f>IF(Teacher_Data[[#This Row],[Completion_Status]]="Completed","Yes","No")</f>
        <v>Yes</v>
      </c>
      <c r="V313">
        <f>IF(Teacher_Data[[#This Row],[Completion_Status]]="Completed",1,0)</f>
        <v>1</v>
      </c>
      <c r="W313">
        <f>1</f>
        <v>1</v>
      </c>
      <c r="X313">
        <f>Teacher_Data[[#This Row],[End_Date]]-Teacher_Data[[#This Row],[Start_Date]]</f>
        <v>55</v>
      </c>
      <c r="Y313" t="str">
        <f>_xlfn.IFS(Teacher_Data[[#This Row],[Experience_Years]]&lt;=5,"0-5 Years",Teacher_Data[[#This Row],[Experience_Years]]&lt;=10,"5-10 Years",Teacher_Data[[#This Row],[Experience_Years]]&lt;=20,"11-20 Years",TRUE,"20+ Years")</f>
        <v>20+ Years</v>
      </c>
    </row>
    <row r="314" spans="1:25" x14ac:dyDescent="0.3">
      <c r="A314" t="s">
        <v>721</v>
      </c>
      <c r="B314" t="s">
        <v>188</v>
      </c>
      <c r="C314" t="s">
        <v>22</v>
      </c>
      <c r="D314">
        <v>24</v>
      </c>
      <c r="E314" t="s">
        <v>23</v>
      </c>
      <c r="F314" t="s">
        <v>37</v>
      </c>
      <c r="G314" t="s">
        <v>38</v>
      </c>
      <c r="H314" t="s">
        <v>26</v>
      </c>
      <c r="I314" t="s">
        <v>27</v>
      </c>
      <c r="J314" s="1">
        <v>45555</v>
      </c>
      <c r="K314" s="1">
        <v>45613</v>
      </c>
      <c r="L314" t="s">
        <v>52</v>
      </c>
      <c r="M314" s="2">
        <v>75</v>
      </c>
      <c r="N314">
        <v>80</v>
      </c>
      <c r="O314" t="s">
        <v>53</v>
      </c>
      <c r="P314">
        <v>36</v>
      </c>
      <c r="Q314" t="s">
        <v>30</v>
      </c>
      <c r="R314" t="s">
        <v>31</v>
      </c>
      <c r="S314" t="s">
        <v>722</v>
      </c>
      <c r="T314">
        <v>14</v>
      </c>
      <c r="U314" t="str">
        <f>IF(Teacher_Data[[#This Row],[Completion_Status]]="Completed","Yes","No")</f>
        <v>Yes</v>
      </c>
      <c r="V314">
        <f>IF(Teacher_Data[[#This Row],[Completion_Status]]="Completed",1,0)</f>
        <v>1</v>
      </c>
      <c r="W314">
        <f>1</f>
        <v>1</v>
      </c>
      <c r="X314">
        <f>Teacher_Data[[#This Row],[End_Date]]-Teacher_Data[[#This Row],[Start_Date]]</f>
        <v>58</v>
      </c>
      <c r="Y314" t="str">
        <f>_xlfn.IFS(Teacher_Data[[#This Row],[Experience_Years]]&lt;=5,"0-5 Years",Teacher_Data[[#This Row],[Experience_Years]]&lt;=10,"5-10 Years",Teacher_Data[[#This Row],[Experience_Years]]&lt;=20,"11-20 Years",TRUE,"20+ Years")</f>
        <v>11-20 Years</v>
      </c>
    </row>
    <row r="315" spans="1:25" x14ac:dyDescent="0.3">
      <c r="A315" t="s">
        <v>723</v>
      </c>
      <c r="B315" t="s">
        <v>194</v>
      </c>
      <c r="C315" t="s">
        <v>35</v>
      </c>
      <c r="D315">
        <v>43</v>
      </c>
      <c r="E315" t="s">
        <v>66</v>
      </c>
      <c r="F315" t="s">
        <v>83</v>
      </c>
      <c r="G315" t="s">
        <v>76</v>
      </c>
      <c r="H315" t="s">
        <v>50</v>
      </c>
      <c r="I315" t="s">
        <v>51</v>
      </c>
      <c r="J315" s="1">
        <v>45527</v>
      </c>
      <c r="K315" s="1">
        <v>45559</v>
      </c>
      <c r="L315" t="s">
        <v>60</v>
      </c>
      <c r="M315" s="2">
        <v>15</v>
      </c>
      <c r="O315" t="s">
        <v>29</v>
      </c>
      <c r="P315">
        <v>14</v>
      </c>
      <c r="Q315" t="s">
        <v>30</v>
      </c>
      <c r="R315" t="s">
        <v>62</v>
      </c>
      <c r="S315" t="s">
        <v>724</v>
      </c>
      <c r="T315">
        <v>7</v>
      </c>
      <c r="U315" t="str">
        <f>IF(Teacher_Data[[#This Row],[Completion_Status]]="Completed","Yes","No")</f>
        <v>No</v>
      </c>
      <c r="V315">
        <f>IF(Teacher_Data[[#This Row],[Completion_Status]]="Completed",1,0)</f>
        <v>0</v>
      </c>
      <c r="W315">
        <f>1</f>
        <v>1</v>
      </c>
      <c r="X315">
        <f>Teacher_Data[[#This Row],[End_Date]]-Teacher_Data[[#This Row],[Start_Date]]</f>
        <v>32</v>
      </c>
      <c r="Y315" t="str">
        <f>_xlfn.IFS(Teacher_Data[[#This Row],[Experience_Years]]&lt;=5,"0-5 Years",Teacher_Data[[#This Row],[Experience_Years]]&lt;=10,"5-10 Years",Teacher_Data[[#This Row],[Experience_Years]]&lt;=20,"11-20 Years",TRUE,"20+ Years")</f>
        <v>5-10 Years</v>
      </c>
    </row>
    <row r="316" spans="1:25" x14ac:dyDescent="0.3">
      <c r="A316" t="s">
        <v>725</v>
      </c>
      <c r="B316" t="s">
        <v>140</v>
      </c>
      <c r="C316" t="s">
        <v>22</v>
      </c>
      <c r="D316">
        <v>44</v>
      </c>
      <c r="E316" t="s">
        <v>36</v>
      </c>
      <c r="F316" t="s">
        <v>67</v>
      </c>
      <c r="G316" t="s">
        <v>38</v>
      </c>
      <c r="H316" t="s">
        <v>39</v>
      </c>
      <c r="I316" t="s">
        <v>27</v>
      </c>
      <c r="J316" s="1">
        <v>45468</v>
      </c>
      <c r="K316" s="1">
        <v>45491</v>
      </c>
      <c r="L316" t="s">
        <v>28</v>
      </c>
      <c r="M316" s="2">
        <v>94</v>
      </c>
      <c r="O316" t="s">
        <v>29</v>
      </c>
      <c r="P316">
        <v>20</v>
      </c>
      <c r="Q316" t="s">
        <v>30</v>
      </c>
      <c r="R316" t="s">
        <v>72</v>
      </c>
      <c r="S316" t="s">
        <v>726</v>
      </c>
      <c r="T316">
        <v>18</v>
      </c>
      <c r="U316" t="str">
        <f>IF(Teacher_Data[[#This Row],[Completion_Status]]="Completed","Yes","No")</f>
        <v>No</v>
      </c>
      <c r="V316">
        <f>IF(Teacher_Data[[#This Row],[Completion_Status]]="Completed",1,0)</f>
        <v>0</v>
      </c>
      <c r="W316">
        <f>1</f>
        <v>1</v>
      </c>
      <c r="X316">
        <f>Teacher_Data[[#This Row],[End_Date]]-Teacher_Data[[#This Row],[Start_Date]]</f>
        <v>23</v>
      </c>
      <c r="Y316" t="str">
        <f>_xlfn.IFS(Teacher_Data[[#This Row],[Experience_Years]]&lt;=5,"0-5 Years",Teacher_Data[[#This Row],[Experience_Years]]&lt;=10,"5-10 Years",Teacher_Data[[#This Row],[Experience_Years]]&lt;=20,"11-20 Years",TRUE,"20+ Years")</f>
        <v>11-20 Years</v>
      </c>
    </row>
    <row r="317" spans="1:25" x14ac:dyDescent="0.3">
      <c r="A317" t="s">
        <v>727</v>
      </c>
      <c r="B317" t="s">
        <v>71</v>
      </c>
      <c r="C317" t="s">
        <v>35</v>
      </c>
      <c r="D317">
        <v>44</v>
      </c>
      <c r="E317" t="s">
        <v>57</v>
      </c>
      <c r="F317" t="s">
        <v>37</v>
      </c>
      <c r="G317" t="s">
        <v>58</v>
      </c>
      <c r="H317" t="s">
        <v>59</v>
      </c>
      <c r="I317" t="s">
        <v>46</v>
      </c>
      <c r="J317" s="1">
        <v>45575</v>
      </c>
      <c r="K317" s="1">
        <v>45583</v>
      </c>
      <c r="L317" t="s">
        <v>28</v>
      </c>
      <c r="M317" s="2">
        <v>50</v>
      </c>
      <c r="O317" t="s">
        <v>29</v>
      </c>
      <c r="P317">
        <v>20</v>
      </c>
      <c r="Q317" t="s">
        <v>40</v>
      </c>
      <c r="R317" t="s">
        <v>104</v>
      </c>
      <c r="S317" t="s">
        <v>728</v>
      </c>
      <c r="T317">
        <v>18</v>
      </c>
      <c r="U317" t="str">
        <f>IF(Teacher_Data[[#This Row],[Completion_Status]]="Completed","Yes","No")</f>
        <v>No</v>
      </c>
      <c r="V317">
        <f>IF(Teacher_Data[[#This Row],[Completion_Status]]="Completed",1,0)</f>
        <v>0</v>
      </c>
      <c r="W317">
        <f>1</f>
        <v>1</v>
      </c>
      <c r="X317">
        <f>Teacher_Data[[#This Row],[End_Date]]-Teacher_Data[[#This Row],[Start_Date]]</f>
        <v>8</v>
      </c>
      <c r="Y317" t="str">
        <f>_xlfn.IFS(Teacher_Data[[#This Row],[Experience_Years]]&lt;=5,"0-5 Years",Teacher_Data[[#This Row],[Experience_Years]]&lt;=10,"5-10 Years",Teacher_Data[[#This Row],[Experience_Years]]&lt;=20,"11-20 Years",TRUE,"20+ Years")</f>
        <v>11-20 Years</v>
      </c>
    </row>
    <row r="318" spans="1:25" x14ac:dyDescent="0.3">
      <c r="A318" t="s">
        <v>729</v>
      </c>
      <c r="B318" t="s">
        <v>107</v>
      </c>
      <c r="C318" t="s">
        <v>35</v>
      </c>
      <c r="D318">
        <v>36</v>
      </c>
      <c r="E318" t="s">
        <v>66</v>
      </c>
      <c r="F318" t="s">
        <v>37</v>
      </c>
      <c r="G318" t="s">
        <v>38</v>
      </c>
      <c r="H318" t="s">
        <v>59</v>
      </c>
      <c r="I318" t="s">
        <v>46</v>
      </c>
      <c r="J318" s="1">
        <v>45441</v>
      </c>
      <c r="K318" s="1">
        <v>45472</v>
      </c>
      <c r="L318" t="s">
        <v>60</v>
      </c>
      <c r="M318" s="2">
        <v>25</v>
      </c>
      <c r="O318" t="s">
        <v>29</v>
      </c>
      <c r="P318">
        <v>26</v>
      </c>
      <c r="Q318" t="s">
        <v>61</v>
      </c>
      <c r="R318" t="s">
        <v>41</v>
      </c>
      <c r="S318" t="s">
        <v>730</v>
      </c>
      <c r="T318">
        <v>7</v>
      </c>
      <c r="U318" t="str">
        <f>IF(Teacher_Data[[#This Row],[Completion_Status]]="Completed","Yes","No")</f>
        <v>No</v>
      </c>
      <c r="V318">
        <f>IF(Teacher_Data[[#This Row],[Completion_Status]]="Completed",1,0)</f>
        <v>0</v>
      </c>
      <c r="W318">
        <f>1</f>
        <v>1</v>
      </c>
      <c r="X318">
        <f>Teacher_Data[[#This Row],[End_Date]]-Teacher_Data[[#This Row],[Start_Date]]</f>
        <v>31</v>
      </c>
      <c r="Y318" t="str">
        <f>_xlfn.IFS(Teacher_Data[[#This Row],[Experience_Years]]&lt;=5,"0-5 Years",Teacher_Data[[#This Row],[Experience_Years]]&lt;=10,"5-10 Years",Teacher_Data[[#This Row],[Experience_Years]]&lt;=20,"11-20 Years",TRUE,"20+ Years")</f>
        <v>5-10 Years</v>
      </c>
    </row>
    <row r="319" spans="1:25" x14ac:dyDescent="0.3">
      <c r="A319" t="s">
        <v>731</v>
      </c>
      <c r="B319" t="s">
        <v>21</v>
      </c>
      <c r="C319" t="s">
        <v>22</v>
      </c>
      <c r="D319">
        <v>51</v>
      </c>
      <c r="E319" t="s">
        <v>66</v>
      </c>
      <c r="F319" t="s">
        <v>24</v>
      </c>
      <c r="G319" t="s">
        <v>38</v>
      </c>
      <c r="H319" t="s">
        <v>50</v>
      </c>
      <c r="I319" t="s">
        <v>46</v>
      </c>
      <c r="J319" s="1">
        <v>45558</v>
      </c>
      <c r="K319" s="1">
        <v>45599</v>
      </c>
      <c r="L319" t="s">
        <v>28</v>
      </c>
      <c r="M319" s="2">
        <v>49</v>
      </c>
      <c r="O319" t="s">
        <v>29</v>
      </c>
      <c r="P319">
        <v>57</v>
      </c>
      <c r="Q319" t="s">
        <v>40</v>
      </c>
      <c r="R319" t="s">
        <v>72</v>
      </c>
      <c r="S319" t="s">
        <v>732</v>
      </c>
      <c r="T319">
        <v>20</v>
      </c>
      <c r="U319" t="str">
        <f>IF(Teacher_Data[[#This Row],[Completion_Status]]="Completed","Yes","No")</f>
        <v>No</v>
      </c>
      <c r="V319">
        <f>IF(Teacher_Data[[#This Row],[Completion_Status]]="Completed",1,0)</f>
        <v>0</v>
      </c>
      <c r="W319">
        <f>1</f>
        <v>1</v>
      </c>
      <c r="X319">
        <f>Teacher_Data[[#This Row],[End_Date]]-Teacher_Data[[#This Row],[Start_Date]]</f>
        <v>41</v>
      </c>
      <c r="Y319" t="str">
        <f>_xlfn.IFS(Teacher_Data[[#This Row],[Experience_Years]]&lt;=5,"0-5 Years",Teacher_Data[[#This Row],[Experience_Years]]&lt;=10,"5-10 Years",Teacher_Data[[#This Row],[Experience_Years]]&lt;=20,"11-20 Years",TRUE,"20+ Years")</f>
        <v>11-20 Years</v>
      </c>
    </row>
    <row r="320" spans="1:25" x14ac:dyDescent="0.3">
      <c r="A320" t="s">
        <v>733</v>
      </c>
      <c r="B320" t="s">
        <v>145</v>
      </c>
      <c r="C320" t="s">
        <v>35</v>
      </c>
      <c r="D320">
        <v>51</v>
      </c>
      <c r="E320" t="s">
        <v>23</v>
      </c>
      <c r="F320" t="s">
        <v>83</v>
      </c>
      <c r="G320" t="s">
        <v>25</v>
      </c>
      <c r="H320" t="s">
        <v>26</v>
      </c>
      <c r="I320" t="s">
        <v>46</v>
      </c>
      <c r="J320" s="1">
        <v>45360</v>
      </c>
      <c r="K320" s="1">
        <v>45409</v>
      </c>
      <c r="L320" t="s">
        <v>28</v>
      </c>
      <c r="M320" s="2">
        <v>59</v>
      </c>
      <c r="O320" t="s">
        <v>29</v>
      </c>
      <c r="P320">
        <v>42</v>
      </c>
      <c r="Q320" t="s">
        <v>61</v>
      </c>
      <c r="R320" t="s">
        <v>31</v>
      </c>
      <c r="S320" t="s">
        <v>734</v>
      </c>
      <c r="T320">
        <v>33</v>
      </c>
      <c r="U320" t="str">
        <f>IF(Teacher_Data[[#This Row],[Completion_Status]]="Completed","Yes","No")</f>
        <v>No</v>
      </c>
      <c r="V320">
        <f>IF(Teacher_Data[[#This Row],[Completion_Status]]="Completed",1,0)</f>
        <v>0</v>
      </c>
      <c r="W320">
        <f>1</f>
        <v>1</v>
      </c>
      <c r="X320">
        <f>Teacher_Data[[#This Row],[End_Date]]-Teacher_Data[[#This Row],[Start_Date]]</f>
        <v>49</v>
      </c>
      <c r="Y320" t="str">
        <f>_xlfn.IFS(Teacher_Data[[#This Row],[Experience_Years]]&lt;=5,"0-5 Years",Teacher_Data[[#This Row],[Experience_Years]]&lt;=10,"5-10 Years",Teacher_Data[[#This Row],[Experience_Years]]&lt;=20,"11-20 Years",TRUE,"20+ Years")</f>
        <v>20+ Years</v>
      </c>
    </row>
    <row r="321" spans="1:25" x14ac:dyDescent="0.3">
      <c r="A321" t="s">
        <v>735</v>
      </c>
      <c r="B321" t="s">
        <v>86</v>
      </c>
      <c r="C321" t="s">
        <v>35</v>
      </c>
      <c r="D321">
        <v>24</v>
      </c>
      <c r="E321" t="s">
        <v>23</v>
      </c>
      <c r="F321" t="s">
        <v>83</v>
      </c>
      <c r="G321" t="s">
        <v>25</v>
      </c>
      <c r="H321" t="s">
        <v>50</v>
      </c>
      <c r="I321" t="s">
        <v>27</v>
      </c>
      <c r="J321" s="1">
        <v>45530</v>
      </c>
      <c r="K321" s="1">
        <v>45580</v>
      </c>
      <c r="L321" t="s">
        <v>60</v>
      </c>
      <c r="M321" s="2">
        <v>24</v>
      </c>
      <c r="O321" t="s">
        <v>29</v>
      </c>
      <c r="P321">
        <v>35</v>
      </c>
      <c r="Q321" t="s">
        <v>61</v>
      </c>
      <c r="R321" t="s">
        <v>62</v>
      </c>
      <c r="S321" t="s">
        <v>736</v>
      </c>
      <c r="T321">
        <v>32</v>
      </c>
      <c r="U321" t="str">
        <f>IF(Teacher_Data[[#This Row],[Completion_Status]]="Completed","Yes","No")</f>
        <v>No</v>
      </c>
      <c r="V321">
        <f>IF(Teacher_Data[[#This Row],[Completion_Status]]="Completed",1,0)</f>
        <v>0</v>
      </c>
      <c r="W321">
        <f>1</f>
        <v>1</v>
      </c>
      <c r="X321">
        <f>Teacher_Data[[#This Row],[End_Date]]-Teacher_Data[[#This Row],[Start_Date]]</f>
        <v>50</v>
      </c>
      <c r="Y321" t="str">
        <f>_xlfn.IFS(Teacher_Data[[#This Row],[Experience_Years]]&lt;=5,"0-5 Years",Teacher_Data[[#This Row],[Experience_Years]]&lt;=10,"5-10 Years",Teacher_Data[[#This Row],[Experience_Years]]&lt;=20,"11-20 Years",TRUE,"20+ Years")</f>
        <v>20+ Years</v>
      </c>
    </row>
    <row r="322" spans="1:25" x14ac:dyDescent="0.3">
      <c r="A322" t="s">
        <v>737</v>
      </c>
      <c r="B322" t="s">
        <v>197</v>
      </c>
      <c r="C322" t="s">
        <v>22</v>
      </c>
      <c r="D322">
        <v>48</v>
      </c>
      <c r="E322" t="s">
        <v>57</v>
      </c>
      <c r="F322" t="s">
        <v>37</v>
      </c>
      <c r="G322" t="s">
        <v>76</v>
      </c>
      <c r="H322" t="s">
        <v>59</v>
      </c>
      <c r="I322" t="s">
        <v>27</v>
      </c>
      <c r="J322" s="1">
        <v>45388</v>
      </c>
      <c r="K322" s="1">
        <v>45429</v>
      </c>
      <c r="L322" t="s">
        <v>52</v>
      </c>
      <c r="M322" s="2">
        <v>88</v>
      </c>
      <c r="N322">
        <v>68</v>
      </c>
      <c r="O322" t="s">
        <v>53</v>
      </c>
      <c r="P322">
        <v>26</v>
      </c>
      <c r="Q322" t="s">
        <v>68</v>
      </c>
      <c r="R322" t="s">
        <v>62</v>
      </c>
      <c r="S322" t="s">
        <v>738</v>
      </c>
      <c r="T322">
        <v>15</v>
      </c>
      <c r="U322" t="str">
        <f>IF(Teacher_Data[[#This Row],[Completion_Status]]="Completed","Yes","No")</f>
        <v>Yes</v>
      </c>
      <c r="V322">
        <f>IF(Teacher_Data[[#This Row],[Completion_Status]]="Completed",1,0)</f>
        <v>1</v>
      </c>
      <c r="W322">
        <f>1</f>
        <v>1</v>
      </c>
      <c r="X322">
        <f>Teacher_Data[[#This Row],[End_Date]]-Teacher_Data[[#This Row],[Start_Date]]</f>
        <v>41</v>
      </c>
      <c r="Y322" t="str">
        <f>_xlfn.IFS(Teacher_Data[[#This Row],[Experience_Years]]&lt;=5,"0-5 Years",Teacher_Data[[#This Row],[Experience_Years]]&lt;=10,"5-10 Years",Teacher_Data[[#This Row],[Experience_Years]]&lt;=20,"11-20 Years",TRUE,"20+ Years")</f>
        <v>11-20 Years</v>
      </c>
    </row>
    <row r="323" spans="1:25" x14ac:dyDescent="0.3">
      <c r="A323" t="s">
        <v>739</v>
      </c>
      <c r="B323" t="s">
        <v>79</v>
      </c>
      <c r="C323" t="s">
        <v>35</v>
      </c>
      <c r="D323">
        <v>43</v>
      </c>
      <c r="E323" t="s">
        <v>23</v>
      </c>
      <c r="F323" t="s">
        <v>37</v>
      </c>
      <c r="G323" t="s">
        <v>58</v>
      </c>
      <c r="H323" t="s">
        <v>50</v>
      </c>
      <c r="I323" t="s">
        <v>27</v>
      </c>
      <c r="J323" s="1">
        <v>45489</v>
      </c>
      <c r="K323" s="1">
        <v>45548</v>
      </c>
      <c r="L323" t="s">
        <v>60</v>
      </c>
      <c r="M323" s="2">
        <v>8</v>
      </c>
      <c r="O323" t="s">
        <v>29</v>
      </c>
      <c r="P323">
        <v>36</v>
      </c>
      <c r="Q323" t="s">
        <v>40</v>
      </c>
      <c r="R323" t="s">
        <v>104</v>
      </c>
      <c r="S323" t="s">
        <v>740</v>
      </c>
      <c r="T323">
        <v>24</v>
      </c>
      <c r="U323" t="str">
        <f>IF(Teacher_Data[[#This Row],[Completion_Status]]="Completed","Yes","No")</f>
        <v>No</v>
      </c>
      <c r="V323">
        <f>IF(Teacher_Data[[#This Row],[Completion_Status]]="Completed",1,0)</f>
        <v>0</v>
      </c>
      <c r="W323">
        <f>1</f>
        <v>1</v>
      </c>
      <c r="X323">
        <f>Teacher_Data[[#This Row],[End_Date]]-Teacher_Data[[#This Row],[Start_Date]]</f>
        <v>59</v>
      </c>
      <c r="Y323" t="str">
        <f>_xlfn.IFS(Teacher_Data[[#This Row],[Experience_Years]]&lt;=5,"0-5 Years",Teacher_Data[[#This Row],[Experience_Years]]&lt;=10,"5-10 Years",Teacher_Data[[#This Row],[Experience_Years]]&lt;=20,"11-20 Years",TRUE,"20+ Years")</f>
        <v>20+ Years</v>
      </c>
    </row>
    <row r="324" spans="1:25" x14ac:dyDescent="0.3">
      <c r="A324" t="s">
        <v>741</v>
      </c>
      <c r="B324" t="s">
        <v>167</v>
      </c>
      <c r="C324" t="s">
        <v>35</v>
      </c>
      <c r="D324">
        <v>55</v>
      </c>
      <c r="E324" t="s">
        <v>57</v>
      </c>
      <c r="F324" t="s">
        <v>67</v>
      </c>
      <c r="G324" t="s">
        <v>38</v>
      </c>
      <c r="H324" t="s">
        <v>26</v>
      </c>
      <c r="I324" t="s">
        <v>51</v>
      </c>
      <c r="J324" s="1">
        <v>45292</v>
      </c>
      <c r="K324" s="1">
        <v>45333</v>
      </c>
      <c r="L324" t="s">
        <v>60</v>
      </c>
      <c r="M324" s="2">
        <v>27</v>
      </c>
      <c r="O324" t="s">
        <v>29</v>
      </c>
      <c r="P324">
        <v>12</v>
      </c>
      <c r="Q324" t="s">
        <v>40</v>
      </c>
      <c r="R324" t="s">
        <v>41</v>
      </c>
      <c r="S324" t="s">
        <v>742</v>
      </c>
      <c r="T324">
        <v>17</v>
      </c>
      <c r="U324" t="str">
        <f>IF(Teacher_Data[[#This Row],[Completion_Status]]="Completed","Yes","No")</f>
        <v>No</v>
      </c>
      <c r="V324">
        <f>IF(Teacher_Data[[#This Row],[Completion_Status]]="Completed",1,0)</f>
        <v>0</v>
      </c>
      <c r="W324">
        <f>1</f>
        <v>1</v>
      </c>
      <c r="X324">
        <f>Teacher_Data[[#This Row],[End_Date]]-Teacher_Data[[#This Row],[Start_Date]]</f>
        <v>41</v>
      </c>
      <c r="Y324" t="str">
        <f>_xlfn.IFS(Teacher_Data[[#This Row],[Experience_Years]]&lt;=5,"0-5 Years",Teacher_Data[[#This Row],[Experience_Years]]&lt;=10,"5-10 Years",Teacher_Data[[#This Row],[Experience_Years]]&lt;=20,"11-20 Years",TRUE,"20+ Years")</f>
        <v>11-20 Years</v>
      </c>
    </row>
    <row r="325" spans="1:25" x14ac:dyDescent="0.3">
      <c r="A325" t="s">
        <v>743</v>
      </c>
      <c r="B325" t="s">
        <v>133</v>
      </c>
      <c r="C325" t="s">
        <v>22</v>
      </c>
      <c r="D325">
        <v>46</v>
      </c>
      <c r="E325" t="s">
        <v>36</v>
      </c>
      <c r="F325" t="s">
        <v>37</v>
      </c>
      <c r="G325" t="s">
        <v>38</v>
      </c>
      <c r="H325" t="s">
        <v>39</v>
      </c>
      <c r="I325" t="s">
        <v>27</v>
      </c>
      <c r="J325" s="1">
        <v>45573</v>
      </c>
      <c r="K325" s="1">
        <v>45620</v>
      </c>
      <c r="L325" t="s">
        <v>28</v>
      </c>
      <c r="M325" s="2">
        <v>41</v>
      </c>
      <c r="O325" t="s">
        <v>29</v>
      </c>
      <c r="P325">
        <v>42</v>
      </c>
      <c r="Q325" t="s">
        <v>30</v>
      </c>
      <c r="R325" t="s">
        <v>104</v>
      </c>
      <c r="S325" t="s">
        <v>744</v>
      </c>
      <c r="T325">
        <v>35</v>
      </c>
      <c r="U325" t="str">
        <f>IF(Teacher_Data[[#This Row],[Completion_Status]]="Completed","Yes","No")</f>
        <v>No</v>
      </c>
      <c r="V325">
        <f>IF(Teacher_Data[[#This Row],[Completion_Status]]="Completed",1,0)</f>
        <v>0</v>
      </c>
      <c r="W325">
        <f>1</f>
        <v>1</v>
      </c>
      <c r="X325">
        <f>Teacher_Data[[#This Row],[End_Date]]-Teacher_Data[[#This Row],[Start_Date]]</f>
        <v>47</v>
      </c>
      <c r="Y325" t="str">
        <f>_xlfn.IFS(Teacher_Data[[#This Row],[Experience_Years]]&lt;=5,"0-5 Years",Teacher_Data[[#This Row],[Experience_Years]]&lt;=10,"5-10 Years",Teacher_Data[[#This Row],[Experience_Years]]&lt;=20,"11-20 Years",TRUE,"20+ Years")</f>
        <v>20+ Years</v>
      </c>
    </row>
    <row r="326" spans="1:25" x14ac:dyDescent="0.3">
      <c r="A326" t="s">
        <v>745</v>
      </c>
      <c r="B326" t="s">
        <v>133</v>
      </c>
      <c r="C326" t="s">
        <v>35</v>
      </c>
      <c r="D326">
        <v>57</v>
      </c>
      <c r="E326" t="s">
        <v>23</v>
      </c>
      <c r="F326" t="s">
        <v>37</v>
      </c>
      <c r="G326" t="s">
        <v>38</v>
      </c>
      <c r="H326" t="s">
        <v>39</v>
      </c>
      <c r="I326" t="s">
        <v>27</v>
      </c>
      <c r="J326" s="1">
        <v>45590</v>
      </c>
      <c r="K326" s="1">
        <v>45629</v>
      </c>
      <c r="L326" t="s">
        <v>28</v>
      </c>
      <c r="M326" s="2">
        <v>96</v>
      </c>
      <c r="O326" t="s">
        <v>29</v>
      </c>
      <c r="P326">
        <v>57</v>
      </c>
      <c r="Q326" t="s">
        <v>68</v>
      </c>
      <c r="R326" t="s">
        <v>104</v>
      </c>
      <c r="S326" t="s">
        <v>746</v>
      </c>
      <c r="T326">
        <v>15</v>
      </c>
      <c r="U326" t="str">
        <f>IF(Teacher_Data[[#This Row],[Completion_Status]]="Completed","Yes","No")</f>
        <v>No</v>
      </c>
      <c r="V326">
        <f>IF(Teacher_Data[[#This Row],[Completion_Status]]="Completed",1,0)</f>
        <v>0</v>
      </c>
      <c r="W326">
        <f>1</f>
        <v>1</v>
      </c>
      <c r="X326">
        <f>Teacher_Data[[#This Row],[End_Date]]-Teacher_Data[[#This Row],[Start_Date]]</f>
        <v>39</v>
      </c>
      <c r="Y326" t="str">
        <f>_xlfn.IFS(Teacher_Data[[#This Row],[Experience_Years]]&lt;=5,"0-5 Years",Teacher_Data[[#This Row],[Experience_Years]]&lt;=10,"5-10 Years",Teacher_Data[[#This Row],[Experience_Years]]&lt;=20,"11-20 Years",TRUE,"20+ Years")</f>
        <v>11-20 Years</v>
      </c>
    </row>
    <row r="327" spans="1:25" x14ac:dyDescent="0.3">
      <c r="A327" t="s">
        <v>747</v>
      </c>
      <c r="B327" t="s">
        <v>89</v>
      </c>
      <c r="C327" t="s">
        <v>22</v>
      </c>
      <c r="D327">
        <v>54</v>
      </c>
      <c r="E327" t="s">
        <v>36</v>
      </c>
      <c r="F327" t="s">
        <v>24</v>
      </c>
      <c r="G327" t="s">
        <v>58</v>
      </c>
      <c r="H327" t="s">
        <v>59</v>
      </c>
      <c r="I327" t="s">
        <v>27</v>
      </c>
      <c r="J327" s="1">
        <v>45362</v>
      </c>
      <c r="K327" s="1">
        <v>45420</v>
      </c>
      <c r="L327" t="s">
        <v>52</v>
      </c>
      <c r="M327" s="2">
        <v>90</v>
      </c>
      <c r="N327">
        <v>60</v>
      </c>
      <c r="O327" t="s">
        <v>53</v>
      </c>
      <c r="P327">
        <v>38</v>
      </c>
      <c r="Q327" t="s">
        <v>68</v>
      </c>
      <c r="R327" t="s">
        <v>72</v>
      </c>
      <c r="S327" t="s">
        <v>748</v>
      </c>
      <c r="T327">
        <v>14</v>
      </c>
      <c r="U327" t="str">
        <f>IF(Teacher_Data[[#This Row],[Completion_Status]]="Completed","Yes","No")</f>
        <v>Yes</v>
      </c>
      <c r="V327">
        <f>IF(Teacher_Data[[#This Row],[Completion_Status]]="Completed",1,0)</f>
        <v>1</v>
      </c>
      <c r="W327">
        <f>1</f>
        <v>1</v>
      </c>
      <c r="X327">
        <f>Teacher_Data[[#This Row],[End_Date]]-Teacher_Data[[#This Row],[Start_Date]]</f>
        <v>58</v>
      </c>
      <c r="Y327" t="str">
        <f>_xlfn.IFS(Teacher_Data[[#This Row],[Experience_Years]]&lt;=5,"0-5 Years",Teacher_Data[[#This Row],[Experience_Years]]&lt;=10,"5-10 Years",Teacher_Data[[#This Row],[Experience_Years]]&lt;=20,"11-20 Years",TRUE,"20+ Years")</f>
        <v>11-20 Years</v>
      </c>
    </row>
    <row r="328" spans="1:25" x14ac:dyDescent="0.3">
      <c r="A328" t="s">
        <v>749</v>
      </c>
      <c r="B328" t="s">
        <v>188</v>
      </c>
      <c r="C328" t="s">
        <v>35</v>
      </c>
      <c r="D328">
        <v>27</v>
      </c>
      <c r="E328" t="s">
        <v>23</v>
      </c>
      <c r="F328" t="s">
        <v>67</v>
      </c>
      <c r="G328" t="s">
        <v>45</v>
      </c>
      <c r="H328" t="s">
        <v>26</v>
      </c>
      <c r="I328" t="s">
        <v>46</v>
      </c>
      <c r="J328" s="1">
        <v>45331</v>
      </c>
      <c r="K328" s="1">
        <v>45343</v>
      </c>
      <c r="L328" t="s">
        <v>60</v>
      </c>
      <c r="M328" s="2">
        <v>20</v>
      </c>
      <c r="O328" t="s">
        <v>29</v>
      </c>
      <c r="P328">
        <v>13</v>
      </c>
      <c r="Q328" t="s">
        <v>40</v>
      </c>
      <c r="R328" t="s">
        <v>41</v>
      </c>
      <c r="S328" t="s">
        <v>750</v>
      </c>
      <c r="T328">
        <v>28</v>
      </c>
      <c r="U328" t="str">
        <f>IF(Teacher_Data[[#This Row],[Completion_Status]]="Completed","Yes","No")</f>
        <v>No</v>
      </c>
      <c r="V328">
        <f>IF(Teacher_Data[[#This Row],[Completion_Status]]="Completed",1,0)</f>
        <v>0</v>
      </c>
      <c r="W328">
        <f>1</f>
        <v>1</v>
      </c>
      <c r="X328">
        <f>Teacher_Data[[#This Row],[End_Date]]-Teacher_Data[[#This Row],[Start_Date]]</f>
        <v>12</v>
      </c>
      <c r="Y328" t="str">
        <f>_xlfn.IFS(Teacher_Data[[#This Row],[Experience_Years]]&lt;=5,"0-5 Years",Teacher_Data[[#This Row],[Experience_Years]]&lt;=10,"5-10 Years",Teacher_Data[[#This Row],[Experience_Years]]&lt;=20,"11-20 Years",TRUE,"20+ Years")</f>
        <v>20+ Years</v>
      </c>
    </row>
    <row r="329" spans="1:25" x14ac:dyDescent="0.3">
      <c r="A329" t="s">
        <v>751</v>
      </c>
      <c r="B329" t="s">
        <v>65</v>
      </c>
      <c r="C329" t="s">
        <v>35</v>
      </c>
      <c r="D329">
        <v>45</v>
      </c>
      <c r="E329" t="s">
        <v>57</v>
      </c>
      <c r="F329" t="s">
        <v>100</v>
      </c>
      <c r="G329" t="s">
        <v>45</v>
      </c>
      <c r="H329" t="s">
        <v>26</v>
      </c>
      <c r="I329" t="s">
        <v>46</v>
      </c>
      <c r="J329" s="1">
        <v>45470</v>
      </c>
      <c r="K329" s="1">
        <v>45522</v>
      </c>
      <c r="L329" t="s">
        <v>52</v>
      </c>
      <c r="M329" s="2">
        <v>99</v>
      </c>
      <c r="N329">
        <v>90</v>
      </c>
      <c r="O329" t="s">
        <v>53</v>
      </c>
      <c r="P329">
        <v>46</v>
      </c>
      <c r="Q329" t="s">
        <v>40</v>
      </c>
      <c r="R329" t="s">
        <v>104</v>
      </c>
      <c r="S329" t="s">
        <v>752</v>
      </c>
      <c r="T329">
        <v>3</v>
      </c>
      <c r="U329" t="str">
        <f>IF(Teacher_Data[[#This Row],[Completion_Status]]="Completed","Yes","No")</f>
        <v>Yes</v>
      </c>
      <c r="V329">
        <f>IF(Teacher_Data[[#This Row],[Completion_Status]]="Completed",1,0)</f>
        <v>1</v>
      </c>
      <c r="W329">
        <f>1</f>
        <v>1</v>
      </c>
      <c r="X329">
        <f>Teacher_Data[[#This Row],[End_Date]]-Teacher_Data[[#This Row],[Start_Date]]</f>
        <v>52</v>
      </c>
      <c r="Y329" t="str">
        <f>_xlfn.IFS(Teacher_Data[[#This Row],[Experience_Years]]&lt;=5,"0-5 Years",Teacher_Data[[#This Row],[Experience_Years]]&lt;=10,"5-10 Years",Teacher_Data[[#This Row],[Experience_Years]]&lt;=20,"11-20 Years",TRUE,"20+ Years")</f>
        <v>0-5 Years</v>
      </c>
    </row>
    <row r="330" spans="1:25" x14ac:dyDescent="0.3">
      <c r="A330" t="s">
        <v>753</v>
      </c>
      <c r="B330" t="s">
        <v>179</v>
      </c>
      <c r="C330" t="s">
        <v>22</v>
      </c>
      <c r="D330">
        <v>52</v>
      </c>
      <c r="E330" t="s">
        <v>36</v>
      </c>
      <c r="F330" t="s">
        <v>83</v>
      </c>
      <c r="G330" t="s">
        <v>45</v>
      </c>
      <c r="H330" t="s">
        <v>39</v>
      </c>
      <c r="I330" t="s">
        <v>27</v>
      </c>
      <c r="J330" s="1">
        <v>45295</v>
      </c>
      <c r="K330" s="1">
        <v>45303</v>
      </c>
      <c r="L330" t="s">
        <v>52</v>
      </c>
      <c r="M330" s="2">
        <v>99</v>
      </c>
      <c r="N330">
        <v>70</v>
      </c>
      <c r="O330" t="s">
        <v>53</v>
      </c>
      <c r="P330">
        <v>18</v>
      </c>
      <c r="Q330" t="s">
        <v>30</v>
      </c>
      <c r="R330" t="s">
        <v>104</v>
      </c>
      <c r="S330" t="s">
        <v>754</v>
      </c>
      <c r="T330">
        <v>6</v>
      </c>
      <c r="U330" t="str">
        <f>IF(Teacher_Data[[#This Row],[Completion_Status]]="Completed","Yes","No")</f>
        <v>Yes</v>
      </c>
      <c r="V330">
        <f>IF(Teacher_Data[[#This Row],[Completion_Status]]="Completed",1,0)</f>
        <v>1</v>
      </c>
      <c r="W330">
        <f>1</f>
        <v>1</v>
      </c>
      <c r="X330">
        <f>Teacher_Data[[#This Row],[End_Date]]-Teacher_Data[[#This Row],[Start_Date]]</f>
        <v>8</v>
      </c>
      <c r="Y330" t="str">
        <f>_xlfn.IFS(Teacher_Data[[#This Row],[Experience_Years]]&lt;=5,"0-5 Years",Teacher_Data[[#This Row],[Experience_Years]]&lt;=10,"5-10 Years",Teacher_Data[[#This Row],[Experience_Years]]&lt;=20,"11-20 Years",TRUE,"20+ Years")</f>
        <v>5-10 Years</v>
      </c>
    </row>
    <row r="331" spans="1:25" x14ac:dyDescent="0.3">
      <c r="A331" t="s">
        <v>755</v>
      </c>
      <c r="B331" t="s">
        <v>167</v>
      </c>
      <c r="C331" t="s">
        <v>22</v>
      </c>
      <c r="D331">
        <v>59</v>
      </c>
      <c r="E331" t="s">
        <v>57</v>
      </c>
      <c r="F331" t="s">
        <v>83</v>
      </c>
      <c r="G331" t="s">
        <v>76</v>
      </c>
      <c r="H331" t="s">
        <v>26</v>
      </c>
      <c r="I331" t="s">
        <v>46</v>
      </c>
      <c r="J331" s="1">
        <v>45325</v>
      </c>
      <c r="K331" s="1">
        <v>45342</v>
      </c>
      <c r="L331" t="s">
        <v>52</v>
      </c>
      <c r="M331" s="2">
        <v>51</v>
      </c>
      <c r="N331">
        <v>98</v>
      </c>
      <c r="O331" t="s">
        <v>53</v>
      </c>
      <c r="P331">
        <v>14</v>
      </c>
      <c r="Q331" t="s">
        <v>61</v>
      </c>
      <c r="R331" t="s">
        <v>104</v>
      </c>
      <c r="S331" t="s">
        <v>756</v>
      </c>
      <c r="T331">
        <v>17</v>
      </c>
      <c r="U331" t="str">
        <f>IF(Teacher_Data[[#This Row],[Completion_Status]]="Completed","Yes","No")</f>
        <v>Yes</v>
      </c>
      <c r="V331">
        <f>IF(Teacher_Data[[#This Row],[Completion_Status]]="Completed",1,0)</f>
        <v>1</v>
      </c>
      <c r="W331">
        <f>1</f>
        <v>1</v>
      </c>
      <c r="X331">
        <f>Teacher_Data[[#This Row],[End_Date]]-Teacher_Data[[#This Row],[Start_Date]]</f>
        <v>17</v>
      </c>
      <c r="Y331" t="str">
        <f>_xlfn.IFS(Teacher_Data[[#This Row],[Experience_Years]]&lt;=5,"0-5 Years",Teacher_Data[[#This Row],[Experience_Years]]&lt;=10,"5-10 Years",Teacher_Data[[#This Row],[Experience_Years]]&lt;=20,"11-20 Years",TRUE,"20+ Years")</f>
        <v>11-20 Years</v>
      </c>
    </row>
    <row r="332" spans="1:25" x14ac:dyDescent="0.3">
      <c r="A332" t="s">
        <v>757</v>
      </c>
      <c r="B332" t="s">
        <v>140</v>
      </c>
      <c r="C332" t="s">
        <v>35</v>
      </c>
      <c r="D332">
        <v>49</v>
      </c>
      <c r="E332" t="s">
        <v>23</v>
      </c>
      <c r="F332" t="s">
        <v>24</v>
      </c>
      <c r="G332" t="s">
        <v>45</v>
      </c>
      <c r="H332" t="s">
        <v>26</v>
      </c>
      <c r="I332" t="s">
        <v>51</v>
      </c>
      <c r="J332" s="1">
        <v>45493</v>
      </c>
      <c r="K332" s="1">
        <v>45537</v>
      </c>
      <c r="L332" t="s">
        <v>28</v>
      </c>
      <c r="M332" s="2">
        <v>84</v>
      </c>
      <c r="O332" t="s">
        <v>29</v>
      </c>
      <c r="P332">
        <v>27</v>
      </c>
      <c r="Q332" t="s">
        <v>68</v>
      </c>
      <c r="R332" t="s">
        <v>31</v>
      </c>
      <c r="S332" t="s">
        <v>758</v>
      </c>
      <c r="T332">
        <v>1</v>
      </c>
      <c r="U332" t="str">
        <f>IF(Teacher_Data[[#This Row],[Completion_Status]]="Completed","Yes","No")</f>
        <v>No</v>
      </c>
      <c r="V332">
        <f>IF(Teacher_Data[[#This Row],[Completion_Status]]="Completed",1,0)</f>
        <v>0</v>
      </c>
      <c r="W332">
        <f>1</f>
        <v>1</v>
      </c>
      <c r="X332">
        <f>Teacher_Data[[#This Row],[End_Date]]-Teacher_Data[[#This Row],[Start_Date]]</f>
        <v>44</v>
      </c>
      <c r="Y332" t="str">
        <f>_xlfn.IFS(Teacher_Data[[#This Row],[Experience_Years]]&lt;=5,"0-5 Years",Teacher_Data[[#This Row],[Experience_Years]]&lt;=10,"5-10 Years",Teacher_Data[[#This Row],[Experience_Years]]&lt;=20,"11-20 Years",TRUE,"20+ Years")</f>
        <v>0-5 Years</v>
      </c>
    </row>
    <row r="333" spans="1:25" x14ac:dyDescent="0.3">
      <c r="A333" t="s">
        <v>759</v>
      </c>
      <c r="B333" t="s">
        <v>82</v>
      </c>
      <c r="C333" t="s">
        <v>35</v>
      </c>
      <c r="D333">
        <v>29</v>
      </c>
      <c r="E333" t="s">
        <v>57</v>
      </c>
      <c r="F333" t="s">
        <v>37</v>
      </c>
      <c r="G333" t="s">
        <v>25</v>
      </c>
      <c r="H333" t="s">
        <v>59</v>
      </c>
      <c r="I333" t="s">
        <v>51</v>
      </c>
      <c r="J333" s="1">
        <v>45472</v>
      </c>
      <c r="K333" s="1">
        <v>45501</v>
      </c>
      <c r="L333" t="s">
        <v>28</v>
      </c>
      <c r="M333" s="2">
        <v>81</v>
      </c>
      <c r="O333" t="s">
        <v>29</v>
      </c>
      <c r="P333">
        <v>58</v>
      </c>
      <c r="Q333" t="s">
        <v>68</v>
      </c>
      <c r="R333" t="s">
        <v>41</v>
      </c>
      <c r="S333" t="s">
        <v>760</v>
      </c>
      <c r="T333">
        <v>5</v>
      </c>
      <c r="U333" t="str">
        <f>IF(Teacher_Data[[#This Row],[Completion_Status]]="Completed","Yes","No")</f>
        <v>No</v>
      </c>
      <c r="V333">
        <f>IF(Teacher_Data[[#This Row],[Completion_Status]]="Completed",1,0)</f>
        <v>0</v>
      </c>
      <c r="W333">
        <f>1</f>
        <v>1</v>
      </c>
      <c r="X333">
        <f>Teacher_Data[[#This Row],[End_Date]]-Teacher_Data[[#This Row],[Start_Date]]</f>
        <v>29</v>
      </c>
      <c r="Y333" t="str">
        <f>_xlfn.IFS(Teacher_Data[[#This Row],[Experience_Years]]&lt;=5,"0-5 Years",Teacher_Data[[#This Row],[Experience_Years]]&lt;=10,"5-10 Years",Teacher_Data[[#This Row],[Experience_Years]]&lt;=20,"11-20 Years",TRUE,"20+ Years")</f>
        <v>0-5 Years</v>
      </c>
    </row>
    <row r="334" spans="1:25" x14ac:dyDescent="0.3">
      <c r="A334" t="s">
        <v>761</v>
      </c>
      <c r="B334" t="s">
        <v>188</v>
      </c>
      <c r="C334" t="s">
        <v>22</v>
      </c>
      <c r="D334">
        <v>41</v>
      </c>
      <c r="E334" t="s">
        <v>66</v>
      </c>
      <c r="F334" t="s">
        <v>100</v>
      </c>
      <c r="G334" t="s">
        <v>45</v>
      </c>
      <c r="H334" t="s">
        <v>59</v>
      </c>
      <c r="I334" t="s">
        <v>46</v>
      </c>
      <c r="J334" s="1">
        <v>45470</v>
      </c>
      <c r="K334" s="1">
        <v>45492</v>
      </c>
      <c r="L334" t="s">
        <v>60</v>
      </c>
      <c r="M334" s="2">
        <v>3</v>
      </c>
      <c r="O334" t="s">
        <v>29</v>
      </c>
      <c r="P334">
        <v>16</v>
      </c>
      <c r="Q334" t="s">
        <v>30</v>
      </c>
      <c r="R334" t="s">
        <v>41</v>
      </c>
      <c r="S334" t="s">
        <v>762</v>
      </c>
      <c r="T334">
        <v>23</v>
      </c>
      <c r="U334" t="str">
        <f>IF(Teacher_Data[[#This Row],[Completion_Status]]="Completed","Yes","No")</f>
        <v>No</v>
      </c>
      <c r="V334">
        <f>IF(Teacher_Data[[#This Row],[Completion_Status]]="Completed",1,0)</f>
        <v>0</v>
      </c>
      <c r="W334">
        <f>1</f>
        <v>1</v>
      </c>
      <c r="X334">
        <f>Teacher_Data[[#This Row],[End_Date]]-Teacher_Data[[#This Row],[Start_Date]]</f>
        <v>22</v>
      </c>
      <c r="Y334" t="str">
        <f>_xlfn.IFS(Teacher_Data[[#This Row],[Experience_Years]]&lt;=5,"0-5 Years",Teacher_Data[[#This Row],[Experience_Years]]&lt;=10,"5-10 Years",Teacher_Data[[#This Row],[Experience_Years]]&lt;=20,"11-20 Years",TRUE,"20+ Years")</f>
        <v>20+ Years</v>
      </c>
    </row>
    <row r="335" spans="1:25" x14ac:dyDescent="0.3">
      <c r="A335" t="s">
        <v>763</v>
      </c>
      <c r="B335" t="s">
        <v>121</v>
      </c>
      <c r="C335" t="s">
        <v>35</v>
      </c>
      <c r="D335">
        <v>60</v>
      </c>
      <c r="E335" t="s">
        <v>23</v>
      </c>
      <c r="F335" t="s">
        <v>83</v>
      </c>
      <c r="G335" t="s">
        <v>25</v>
      </c>
      <c r="H335" t="s">
        <v>59</v>
      </c>
      <c r="I335" t="s">
        <v>46</v>
      </c>
      <c r="J335" s="1">
        <v>45381</v>
      </c>
      <c r="K335" s="1">
        <v>45427</v>
      </c>
      <c r="L335" t="s">
        <v>60</v>
      </c>
      <c r="M335" s="2">
        <v>27</v>
      </c>
      <c r="O335" t="s">
        <v>29</v>
      </c>
      <c r="P335">
        <v>27</v>
      </c>
      <c r="Q335" t="s">
        <v>40</v>
      </c>
      <c r="R335" t="s">
        <v>31</v>
      </c>
      <c r="S335" t="s">
        <v>764</v>
      </c>
      <c r="T335">
        <v>23</v>
      </c>
      <c r="U335" t="str">
        <f>IF(Teacher_Data[[#This Row],[Completion_Status]]="Completed","Yes","No")</f>
        <v>No</v>
      </c>
      <c r="V335">
        <f>IF(Teacher_Data[[#This Row],[Completion_Status]]="Completed",1,0)</f>
        <v>0</v>
      </c>
      <c r="W335">
        <f>1</f>
        <v>1</v>
      </c>
      <c r="X335">
        <f>Teacher_Data[[#This Row],[End_Date]]-Teacher_Data[[#This Row],[Start_Date]]</f>
        <v>46</v>
      </c>
      <c r="Y335" t="str">
        <f>_xlfn.IFS(Teacher_Data[[#This Row],[Experience_Years]]&lt;=5,"0-5 Years",Teacher_Data[[#This Row],[Experience_Years]]&lt;=10,"5-10 Years",Teacher_Data[[#This Row],[Experience_Years]]&lt;=20,"11-20 Years",TRUE,"20+ Years")</f>
        <v>20+ Years</v>
      </c>
    </row>
    <row r="336" spans="1:25" x14ac:dyDescent="0.3">
      <c r="A336" t="s">
        <v>765</v>
      </c>
      <c r="B336" t="s">
        <v>133</v>
      </c>
      <c r="C336" t="s">
        <v>35</v>
      </c>
      <c r="D336">
        <v>22</v>
      </c>
      <c r="E336" t="s">
        <v>36</v>
      </c>
      <c r="F336" t="s">
        <v>37</v>
      </c>
      <c r="G336" t="s">
        <v>76</v>
      </c>
      <c r="H336" t="s">
        <v>26</v>
      </c>
      <c r="I336" t="s">
        <v>51</v>
      </c>
      <c r="J336" s="1">
        <v>45363</v>
      </c>
      <c r="K336" s="1">
        <v>45392</v>
      </c>
      <c r="L336" t="s">
        <v>60</v>
      </c>
      <c r="M336" s="2">
        <v>22</v>
      </c>
      <c r="O336" t="s">
        <v>29</v>
      </c>
      <c r="P336">
        <v>7</v>
      </c>
      <c r="Q336" t="s">
        <v>40</v>
      </c>
      <c r="R336" t="s">
        <v>62</v>
      </c>
      <c r="S336" t="s">
        <v>766</v>
      </c>
      <c r="T336">
        <v>3</v>
      </c>
      <c r="U336" t="str">
        <f>IF(Teacher_Data[[#This Row],[Completion_Status]]="Completed","Yes","No")</f>
        <v>No</v>
      </c>
      <c r="V336">
        <f>IF(Teacher_Data[[#This Row],[Completion_Status]]="Completed",1,0)</f>
        <v>0</v>
      </c>
      <c r="W336">
        <f>1</f>
        <v>1</v>
      </c>
      <c r="X336">
        <f>Teacher_Data[[#This Row],[End_Date]]-Teacher_Data[[#This Row],[Start_Date]]</f>
        <v>29</v>
      </c>
      <c r="Y336" t="str">
        <f>_xlfn.IFS(Teacher_Data[[#This Row],[Experience_Years]]&lt;=5,"0-5 Years",Teacher_Data[[#This Row],[Experience_Years]]&lt;=10,"5-10 Years",Teacher_Data[[#This Row],[Experience_Years]]&lt;=20,"11-20 Years",TRUE,"20+ Years")</f>
        <v>0-5 Years</v>
      </c>
    </row>
    <row r="337" spans="1:25" x14ac:dyDescent="0.3">
      <c r="A337" t="s">
        <v>767</v>
      </c>
      <c r="B337" t="s">
        <v>79</v>
      </c>
      <c r="C337" t="s">
        <v>35</v>
      </c>
      <c r="D337">
        <v>59</v>
      </c>
      <c r="E337" t="s">
        <v>66</v>
      </c>
      <c r="F337" t="s">
        <v>100</v>
      </c>
      <c r="G337" t="s">
        <v>76</v>
      </c>
      <c r="H337" t="s">
        <v>39</v>
      </c>
      <c r="I337" t="s">
        <v>51</v>
      </c>
      <c r="J337" s="1">
        <v>45491</v>
      </c>
      <c r="K337" s="1">
        <v>45504</v>
      </c>
      <c r="L337" t="s">
        <v>28</v>
      </c>
      <c r="M337" s="2">
        <v>85</v>
      </c>
      <c r="O337" t="s">
        <v>29</v>
      </c>
      <c r="P337">
        <v>24</v>
      </c>
      <c r="Q337" t="s">
        <v>61</v>
      </c>
      <c r="R337" t="s">
        <v>41</v>
      </c>
      <c r="S337" t="s">
        <v>768</v>
      </c>
      <c r="T337">
        <v>33</v>
      </c>
      <c r="U337" t="str">
        <f>IF(Teacher_Data[[#This Row],[Completion_Status]]="Completed","Yes","No")</f>
        <v>No</v>
      </c>
      <c r="V337">
        <f>IF(Teacher_Data[[#This Row],[Completion_Status]]="Completed",1,0)</f>
        <v>0</v>
      </c>
      <c r="W337">
        <f>1</f>
        <v>1</v>
      </c>
      <c r="X337">
        <f>Teacher_Data[[#This Row],[End_Date]]-Teacher_Data[[#This Row],[Start_Date]]</f>
        <v>13</v>
      </c>
      <c r="Y337" t="str">
        <f>_xlfn.IFS(Teacher_Data[[#This Row],[Experience_Years]]&lt;=5,"0-5 Years",Teacher_Data[[#This Row],[Experience_Years]]&lt;=10,"5-10 Years",Teacher_Data[[#This Row],[Experience_Years]]&lt;=20,"11-20 Years",TRUE,"20+ Years")</f>
        <v>20+ Years</v>
      </c>
    </row>
    <row r="338" spans="1:25" x14ac:dyDescent="0.3">
      <c r="A338" t="s">
        <v>769</v>
      </c>
      <c r="B338" t="s">
        <v>185</v>
      </c>
      <c r="C338" t="s">
        <v>35</v>
      </c>
      <c r="D338">
        <v>52</v>
      </c>
      <c r="E338" t="s">
        <v>57</v>
      </c>
      <c r="F338" t="s">
        <v>100</v>
      </c>
      <c r="G338" t="s">
        <v>25</v>
      </c>
      <c r="H338" t="s">
        <v>50</v>
      </c>
      <c r="I338" t="s">
        <v>27</v>
      </c>
      <c r="J338" s="1">
        <v>45352</v>
      </c>
      <c r="K338" s="1">
        <v>45382</v>
      </c>
      <c r="L338" t="s">
        <v>28</v>
      </c>
      <c r="M338" s="2">
        <v>82</v>
      </c>
      <c r="O338" t="s">
        <v>29</v>
      </c>
      <c r="P338">
        <v>27</v>
      </c>
      <c r="Q338" t="s">
        <v>61</v>
      </c>
      <c r="R338" t="s">
        <v>31</v>
      </c>
      <c r="S338" t="s">
        <v>770</v>
      </c>
      <c r="T338">
        <v>3</v>
      </c>
      <c r="U338" t="str">
        <f>IF(Teacher_Data[[#This Row],[Completion_Status]]="Completed","Yes","No")</f>
        <v>No</v>
      </c>
      <c r="V338">
        <f>IF(Teacher_Data[[#This Row],[Completion_Status]]="Completed",1,0)</f>
        <v>0</v>
      </c>
      <c r="W338">
        <f>1</f>
        <v>1</v>
      </c>
      <c r="X338">
        <f>Teacher_Data[[#This Row],[End_Date]]-Teacher_Data[[#This Row],[Start_Date]]</f>
        <v>30</v>
      </c>
      <c r="Y338" t="str">
        <f>_xlfn.IFS(Teacher_Data[[#This Row],[Experience_Years]]&lt;=5,"0-5 Years",Teacher_Data[[#This Row],[Experience_Years]]&lt;=10,"5-10 Years",Teacher_Data[[#This Row],[Experience_Years]]&lt;=20,"11-20 Years",TRUE,"20+ Years")</f>
        <v>0-5 Years</v>
      </c>
    </row>
    <row r="339" spans="1:25" x14ac:dyDescent="0.3">
      <c r="A339" t="s">
        <v>771</v>
      </c>
      <c r="B339" t="s">
        <v>238</v>
      </c>
      <c r="C339" t="s">
        <v>22</v>
      </c>
      <c r="D339">
        <v>58</v>
      </c>
      <c r="E339" t="s">
        <v>66</v>
      </c>
      <c r="F339" t="s">
        <v>100</v>
      </c>
      <c r="G339" t="s">
        <v>25</v>
      </c>
      <c r="H339" t="s">
        <v>50</v>
      </c>
      <c r="I339" t="s">
        <v>27</v>
      </c>
      <c r="J339" s="1">
        <v>45308</v>
      </c>
      <c r="K339" s="1">
        <v>45323</v>
      </c>
      <c r="L339" t="s">
        <v>28</v>
      </c>
      <c r="M339" s="2">
        <v>82</v>
      </c>
      <c r="O339" t="s">
        <v>29</v>
      </c>
      <c r="P339">
        <v>42</v>
      </c>
      <c r="Q339" t="s">
        <v>40</v>
      </c>
      <c r="R339" t="s">
        <v>72</v>
      </c>
      <c r="S339" t="s">
        <v>772</v>
      </c>
      <c r="T339">
        <v>27</v>
      </c>
      <c r="U339" t="str">
        <f>IF(Teacher_Data[[#This Row],[Completion_Status]]="Completed","Yes","No")</f>
        <v>No</v>
      </c>
      <c r="V339">
        <f>IF(Teacher_Data[[#This Row],[Completion_Status]]="Completed",1,0)</f>
        <v>0</v>
      </c>
      <c r="W339">
        <f>1</f>
        <v>1</v>
      </c>
      <c r="X339">
        <f>Teacher_Data[[#This Row],[End_Date]]-Teacher_Data[[#This Row],[Start_Date]]</f>
        <v>15</v>
      </c>
      <c r="Y339" t="str">
        <f>_xlfn.IFS(Teacher_Data[[#This Row],[Experience_Years]]&lt;=5,"0-5 Years",Teacher_Data[[#This Row],[Experience_Years]]&lt;=10,"5-10 Years",Teacher_Data[[#This Row],[Experience_Years]]&lt;=20,"11-20 Years",TRUE,"20+ Years")</f>
        <v>20+ Years</v>
      </c>
    </row>
    <row r="340" spans="1:25" x14ac:dyDescent="0.3">
      <c r="A340" t="s">
        <v>773</v>
      </c>
      <c r="B340" t="s">
        <v>71</v>
      </c>
      <c r="C340" t="s">
        <v>22</v>
      </c>
      <c r="D340">
        <v>44</v>
      </c>
      <c r="E340" t="s">
        <v>36</v>
      </c>
      <c r="F340" t="s">
        <v>24</v>
      </c>
      <c r="G340" t="s">
        <v>76</v>
      </c>
      <c r="H340" t="s">
        <v>50</v>
      </c>
      <c r="I340" t="s">
        <v>46</v>
      </c>
      <c r="J340" s="1">
        <v>45381</v>
      </c>
      <c r="K340" s="1">
        <v>45439</v>
      </c>
      <c r="L340" t="s">
        <v>52</v>
      </c>
      <c r="M340" s="2">
        <v>67</v>
      </c>
      <c r="N340">
        <v>64</v>
      </c>
      <c r="O340" t="s">
        <v>53</v>
      </c>
      <c r="P340">
        <v>44</v>
      </c>
      <c r="Q340" t="s">
        <v>61</v>
      </c>
      <c r="R340" t="s">
        <v>72</v>
      </c>
      <c r="S340" t="s">
        <v>774</v>
      </c>
      <c r="T340">
        <v>2</v>
      </c>
      <c r="U340" t="str">
        <f>IF(Teacher_Data[[#This Row],[Completion_Status]]="Completed","Yes","No")</f>
        <v>Yes</v>
      </c>
      <c r="V340">
        <f>IF(Teacher_Data[[#This Row],[Completion_Status]]="Completed",1,0)</f>
        <v>1</v>
      </c>
      <c r="W340">
        <f>1</f>
        <v>1</v>
      </c>
      <c r="X340">
        <f>Teacher_Data[[#This Row],[End_Date]]-Teacher_Data[[#This Row],[Start_Date]]</f>
        <v>58</v>
      </c>
      <c r="Y340" t="str">
        <f>_xlfn.IFS(Teacher_Data[[#This Row],[Experience_Years]]&lt;=5,"0-5 Years",Teacher_Data[[#This Row],[Experience_Years]]&lt;=10,"5-10 Years",Teacher_Data[[#This Row],[Experience_Years]]&lt;=20,"11-20 Years",TRUE,"20+ Years")</f>
        <v>0-5 Years</v>
      </c>
    </row>
    <row r="341" spans="1:25" x14ac:dyDescent="0.3">
      <c r="A341" t="s">
        <v>775</v>
      </c>
      <c r="B341" t="s">
        <v>156</v>
      </c>
      <c r="C341" t="s">
        <v>22</v>
      </c>
      <c r="D341">
        <v>36</v>
      </c>
      <c r="E341" t="s">
        <v>23</v>
      </c>
      <c r="F341" t="s">
        <v>37</v>
      </c>
      <c r="G341" t="s">
        <v>76</v>
      </c>
      <c r="H341" t="s">
        <v>59</v>
      </c>
      <c r="I341" t="s">
        <v>27</v>
      </c>
      <c r="J341" s="1">
        <v>45433</v>
      </c>
      <c r="K341" s="1">
        <v>45484</v>
      </c>
      <c r="L341" t="s">
        <v>52</v>
      </c>
      <c r="M341" s="2">
        <v>75</v>
      </c>
      <c r="N341">
        <v>56</v>
      </c>
      <c r="O341" t="s">
        <v>53</v>
      </c>
      <c r="P341">
        <v>21</v>
      </c>
      <c r="Q341" t="s">
        <v>68</v>
      </c>
      <c r="R341" t="s">
        <v>41</v>
      </c>
      <c r="S341" t="s">
        <v>776</v>
      </c>
      <c r="T341">
        <v>13</v>
      </c>
      <c r="U341" t="str">
        <f>IF(Teacher_Data[[#This Row],[Completion_Status]]="Completed","Yes","No")</f>
        <v>Yes</v>
      </c>
      <c r="V341">
        <f>IF(Teacher_Data[[#This Row],[Completion_Status]]="Completed",1,0)</f>
        <v>1</v>
      </c>
      <c r="W341">
        <f>1</f>
        <v>1</v>
      </c>
      <c r="X341">
        <f>Teacher_Data[[#This Row],[End_Date]]-Teacher_Data[[#This Row],[Start_Date]]</f>
        <v>51</v>
      </c>
      <c r="Y341" t="str">
        <f>_xlfn.IFS(Teacher_Data[[#This Row],[Experience_Years]]&lt;=5,"0-5 Years",Teacher_Data[[#This Row],[Experience_Years]]&lt;=10,"5-10 Years",Teacher_Data[[#This Row],[Experience_Years]]&lt;=20,"11-20 Years",TRUE,"20+ Years")</f>
        <v>11-20 Years</v>
      </c>
    </row>
    <row r="342" spans="1:25" x14ac:dyDescent="0.3">
      <c r="A342" t="s">
        <v>777</v>
      </c>
      <c r="B342" t="s">
        <v>110</v>
      </c>
      <c r="C342" t="s">
        <v>22</v>
      </c>
      <c r="D342">
        <v>33</v>
      </c>
      <c r="E342" t="s">
        <v>66</v>
      </c>
      <c r="F342" t="s">
        <v>37</v>
      </c>
      <c r="G342" t="s">
        <v>38</v>
      </c>
      <c r="H342" t="s">
        <v>50</v>
      </c>
      <c r="I342" t="s">
        <v>27</v>
      </c>
      <c r="J342" s="1">
        <v>45293</v>
      </c>
      <c r="K342" s="1">
        <v>45298</v>
      </c>
      <c r="L342" t="s">
        <v>52</v>
      </c>
      <c r="M342" s="2">
        <v>54</v>
      </c>
      <c r="N342">
        <v>63</v>
      </c>
      <c r="O342" t="s">
        <v>53</v>
      </c>
      <c r="P342">
        <v>27</v>
      </c>
      <c r="Q342" t="s">
        <v>68</v>
      </c>
      <c r="R342" t="s">
        <v>62</v>
      </c>
      <c r="S342" t="s">
        <v>778</v>
      </c>
      <c r="T342">
        <v>15</v>
      </c>
      <c r="U342" t="str">
        <f>IF(Teacher_Data[[#This Row],[Completion_Status]]="Completed","Yes","No")</f>
        <v>Yes</v>
      </c>
      <c r="V342">
        <f>IF(Teacher_Data[[#This Row],[Completion_Status]]="Completed",1,0)</f>
        <v>1</v>
      </c>
      <c r="W342">
        <f>1</f>
        <v>1</v>
      </c>
      <c r="X342">
        <f>Teacher_Data[[#This Row],[End_Date]]-Teacher_Data[[#This Row],[Start_Date]]</f>
        <v>5</v>
      </c>
      <c r="Y342" t="str">
        <f>_xlfn.IFS(Teacher_Data[[#This Row],[Experience_Years]]&lt;=5,"0-5 Years",Teacher_Data[[#This Row],[Experience_Years]]&lt;=10,"5-10 Years",Teacher_Data[[#This Row],[Experience_Years]]&lt;=20,"11-20 Years",TRUE,"20+ Years")</f>
        <v>11-20 Years</v>
      </c>
    </row>
    <row r="343" spans="1:25" x14ac:dyDescent="0.3">
      <c r="A343" t="s">
        <v>779</v>
      </c>
      <c r="B343" t="s">
        <v>191</v>
      </c>
      <c r="C343" t="s">
        <v>22</v>
      </c>
      <c r="D343">
        <v>50</v>
      </c>
      <c r="E343" t="s">
        <v>23</v>
      </c>
      <c r="F343" t="s">
        <v>83</v>
      </c>
      <c r="G343" t="s">
        <v>45</v>
      </c>
      <c r="H343" t="s">
        <v>26</v>
      </c>
      <c r="I343" t="s">
        <v>46</v>
      </c>
      <c r="J343" s="1">
        <v>45337</v>
      </c>
      <c r="K343" s="1">
        <v>45385</v>
      </c>
      <c r="L343" t="s">
        <v>60</v>
      </c>
      <c r="M343" s="2">
        <v>25</v>
      </c>
      <c r="O343" t="s">
        <v>29</v>
      </c>
      <c r="P343">
        <v>50</v>
      </c>
      <c r="Q343" t="s">
        <v>61</v>
      </c>
      <c r="R343" t="s">
        <v>62</v>
      </c>
      <c r="S343" t="s">
        <v>780</v>
      </c>
      <c r="T343">
        <v>31</v>
      </c>
      <c r="U343" t="str">
        <f>IF(Teacher_Data[[#This Row],[Completion_Status]]="Completed","Yes","No")</f>
        <v>No</v>
      </c>
      <c r="V343">
        <f>IF(Teacher_Data[[#This Row],[Completion_Status]]="Completed",1,0)</f>
        <v>0</v>
      </c>
      <c r="W343">
        <f>1</f>
        <v>1</v>
      </c>
      <c r="X343">
        <f>Teacher_Data[[#This Row],[End_Date]]-Teacher_Data[[#This Row],[Start_Date]]</f>
        <v>48</v>
      </c>
      <c r="Y343" t="str">
        <f>_xlfn.IFS(Teacher_Data[[#This Row],[Experience_Years]]&lt;=5,"0-5 Years",Teacher_Data[[#This Row],[Experience_Years]]&lt;=10,"5-10 Years",Teacher_Data[[#This Row],[Experience_Years]]&lt;=20,"11-20 Years",TRUE,"20+ Years")</f>
        <v>20+ Years</v>
      </c>
    </row>
    <row r="344" spans="1:25" x14ac:dyDescent="0.3">
      <c r="A344" t="s">
        <v>781</v>
      </c>
      <c r="B344" t="s">
        <v>124</v>
      </c>
      <c r="C344" t="s">
        <v>35</v>
      </c>
      <c r="D344">
        <v>49</v>
      </c>
      <c r="E344" t="s">
        <v>36</v>
      </c>
      <c r="F344" t="s">
        <v>37</v>
      </c>
      <c r="G344" t="s">
        <v>76</v>
      </c>
      <c r="H344" t="s">
        <v>26</v>
      </c>
      <c r="I344" t="s">
        <v>51</v>
      </c>
      <c r="J344" s="1">
        <v>45417</v>
      </c>
      <c r="K344" s="1">
        <v>45460</v>
      </c>
      <c r="L344" t="s">
        <v>60</v>
      </c>
      <c r="M344" s="2">
        <v>14</v>
      </c>
      <c r="O344" t="s">
        <v>29</v>
      </c>
      <c r="P344">
        <v>21</v>
      </c>
      <c r="Q344" t="s">
        <v>61</v>
      </c>
      <c r="R344" t="s">
        <v>31</v>
      </c>
      <c r="S344" t="s">
        <v>782</v>
      </c>
      <c r="T344">
        <v>21</v>
      </c>
      <c r="U344" t="str">
        <f>IF(Teacher_Data[[#This Row],[Completion_Status]]="Completed","Yes","No")</f>
        <v>No</v>
      </c>
      <c r="V344">
        <f>IF(Teacher_Data[[#This Row],[Completion_Status]]="Completed",1,0)</f>
        <v>0</v>
      </c>
      <c r="W344">
        <f>1</f>
        <v>1</v>
      </c>
      <c r="X344">
        <f>Teacher_Data[[#This Row],[End_Date]]-Teacher_Data[[#This Row],[Start_Date]]</f>
        <v>43</v>
      </c>
      <c r="Y344" t="str">
        <f>_xlfn.IFS(Teacher_Data[[#This Row],[Experience_Years]]&lt;=5,"0-5 Years",Teacher_Data[[#This Row],[Experience_Years]]&lt;=10,"5-10 Years",Teacher_Data[[#This Row],[Experience_Years]]&lt;=20,"11-20 Years",TRUE,"20+ Years")</f>
        <v>20+ Years</v>
      </c>
    </row>
    <row r="345" spans="1:25" x14ac:dyDescent="0.3">
      <c r="A345" t="s">
        <v>783</v>
      </c>
      <c r="B345" t="s">
        <v>185</v>
      </c>
      <c r="C345" t="s">
        <v>22</v>
      </c>
      <c r="D345">
        <v>36</v>
      </c>
      <c r="E345" t="s">
        <v>23</v>
      </c>
      <c r="F345" t="s">
        <v>24</v>
      </c>
      <c r="G345" t="s">
        <v>38</v>
      </c>
      <c r="H345" t="s">
        <v>26</v>
      </c>
      <c r="I345" t="s">
        <v>46</v>
      </c>
      <c r="J345" s="1">
        <v>45571</v>
      </c>
      <c r="K345" s="1">
        <v>45588</v>
      </c>
      <c r="L345" t="s">
        <v>28</v>
      </c>
      <c r="M345" s="2">
        <v>50</v>
      </c>
      <c r="O345" t="s">
        <v>29</v>
      </c>
      <c r="P345">
        <v>44</v>
      </c>
      <c r="Q345" t="s">
        <v>61</v>
      </c>
      <c r="R345" t="s">
        <v>72</v>
      </c>
      <c r="S345" t="s">
        <v>784</v>
      </c>
      <c r="T345">
        <v>2</v>
      </c>
      <c r="U345" t="str">
        <f>IF(Teacher_Data[[#This Row],[Completion_Status]]="Completed","Yes","No")</f>
        <v>No</v>
      </c>
      <c r="V345">
        <f>IF(Teacher_Data[[#This Row],[Completion_Status]]="Completed",1,0)</f>
        <v>0</v>
      </c>
      <c r="W345">
        <f>1</f>
        <v>1</v>
      </c>
      <c r="X345">
        <f>Teacher_Data[[#This Row],[End_Date]]-Teacher_Data[[#This Row],[Start_Date]]</f>
        <v>17</v>
      </c>
      <c r="Y345" t="str">
        <f>_xlfn.IFS(Teacher_Data[[#This Row],[Experience_Years]]&lt;=5,"0-5 Years",Teacher_Data[[#This Row],[Experience_Years]]&lt;=10,"5-10 Years",Teacher_Data[[#This Row],[Experience_Years]]&lt;=20,"11-20 Years",TRUE,"20+ Years")</f>
        <v>0-5 Years</v>
      </c>
    </row>
    <row r="346" spans="1:25" x14ac:dyDescent="0.3">
      <c r="A346" t="s">
        <v>785</v>
      </c>
      <c r="B346" t="s">
        <v>107</v>
      </c>
      <c r="C346" t="s">
        <v>35</v>
      </c>
      <c r="D346">
        <v>58</v>
      </c>
      <c r="E346" t="s">
        <v>36</v>
      </c>
      <c r="F346" t="s">
        <v>83</v>
      </c>
      <c r="G346" t="s">
        <v>58</v>
      </c>
      <c r="H346" t="s">
        <v>26</v>
      </c>
      <c r="I346" t="s">
        <v>46</v>
      </c>
      <c r="J346" s="1">
        <v>45456</v>
      </c>
      <c r="K346" s="1">
        <v>45509</v>
      </c>
      <c r="L346" t="s">
        <v>52</v>
      </c>
      <c r="M346" s="2">
        <v>49</v>
      </c>
      <c r="N346">
        <v>52</v>
      </c>
      <c r="O346" t="s">
        <v>53</v>
      </c>
      <c r="P346">
        <v>34</v>
      </c>
      <c r="Q346" t="s">
        <v>30</v>
      </c>
      <c r="R346" t="s">
        <v>62</v>
      </c>
      <c r="S346" t="s">
        <v>786</v>
      </c>
      <c r="T346">
        <v>7</v>
      </c>
      <c r="U346" t="str">
        <f>IF(Teacher_Data[[#This Row],[Completion_Status]]="Completed","Yes","No")</f>
        <v>Yes</v>
      </c>
      <c r="V346">
        <f>IF(Teacher_Data[[#This Row],[Completion_Status]]="Completed",1,0)</f>
        <v>1</v>
      </c>
      <c r="W346">
        <f>1</f>
        <v>1</v>
      </c>
      <c r="X346">
        <f>Teacher_Data[[#This Row],[End_Date]]-Teacher_Data[[#This Row],[Start_Date]]</f>
        <v>53</v>
      </c>
      <c r="Y346" t="str">
        <f>_xlfn.IFS(Teacher_Data[[#This Row],[Experience_Years]]&lt;=5,"0-5 Years",Teacher_Data[[#This Row],[Experience_Years]]&lt;=10,"5-10 Years",Teacher_Data[[#This Row],[Experience_Years]]&lt;=20,"11-20 Years",TRUE,"20+ Years")</f>
        <v>5-10 Years</v>
      </c>
    </row>
    <row r="347" spans="1:25" x14ac:dyDescent="0.3">
      <c r="A347" t="s">
        <v>787</v>
      </c>
      <c r="B347" t="s">
        <v>56</v>
      </c>
      <c r="C347" t="s">
        <v>35</v>
      </c>
      <c r="D347">
        <v>50</v>
      </c>
      <c r="E347" t="s">
        <v>57</v>
      </c>
      <c r="F347" t="s">
        <v>83</v>
      </c>
      <c r="G347" t="s">
        <v>58</v>
      </c>
      <c r="H347" t="s">
        <v>26</v>
      </c>
      <c r="I347" t="s">
        <v>51</v>
      </c>
      <c r="J347" s="1">
        <v>45339</v>
      </c>
      <c r="K347" s="1">
        <v>45383</v>
      </c>
      <c r="L347" t="s">
        <v>60</v>
      </c>
      <c r="M347" s="2">
        <v>26</v>
      </c>
      <c r="O347" t="s">
        <v>29</v>
      </c>
      <c r="P347">
        <v>44</v>
      </c>
      <c r="Q347" t="s">
        <v>30</v>
      </c>
      <c r="R347" t="s">
        <v>31</v>
      </c>
      <c r="S347" t="s">
        <v>788</v>
      </c>
      <c r="T347">
        <v>9</v>
      </c>
      <c r="U347" t="str">
        <f>IF(Teacher_Data[[#This Row],[Completion_Status]]="Completed","Yes","No")</f>
        <v>No</v>
      </c>
      <c r="V347">
        <f>IF(Teacher_Data[[#This Row],[Completion_Status]]="Completed",1,0)</f>
        <v>0</v>
      </c>
      <c r="W347">
        <f>1</f>
        <v>1</v>
      </c>
      <c r="X347">
        <f>Teacher_Data[[#This Row],[End_Date]]-Teacher_Data[[#This Row],[Start_Date]]</f>
        <v>44</v>
      </c>
      <c r="Y347" t="str">
        <f>_xlfn.IFS(Teacher_Data[[#This Row],[Experience_Years]]&lt;=5,"0-5 Years",Teacher_Data[[#This Row],[Experience_Years]]&lt;=10,"5-10 Years",Teacher_Data[[#This Row],[Experience_Years]]&lt;=20,"11-20 Years",TRUE,"20+ Years")</f>
        <v>5-10 Years</v>
      </c>
    </row>
    <row r="348" spans="1:25" x14ac:dyDescent="0.3">
      <c r="A348" t="s">
        <v>789</v>
      </c>
      <c r="B348" t="s">
        <v>49</v>
      </c>
      <c r="C348" t="s">
        <v>22</v>
      </c>
      <c r="D348">
        <v>27</v>
      </c>
      <c r="E348" t="s">
        <v>66</v>
      </c>
      <c r="F348" t="s">
        <v>67</v>
      </c>
      <c r="G348" t="s">
        <v>76</v>
      </c>
      <c r="H348" t="s">
        <v>50</v>
      </c>
      <c r="I348" t="s">
        <v>46</v>
      </c>
      <c r="J348" s="1">
        <v>45406</v>
      </c>
      <c r="K348" s="1">
        <v>45422</v>
      </c>
      <c r="L348" t="s">
        <v>52</v>
      </c>
      <c r="M348" s="2">
        <v>68</v>
      </c>
      <c r="N348">
        <v>71</v>
      </c>
      <c r="O348" t="s">
        <v>53</v>
      </c>
      <c r="P348">
        <v>25</v>
      </c>
      <c r="Q348" t="s">
        <v>61</v>
      </c>
      <c r="R348" t="s">
        <v>104</v>
      </c>
      <c r="S348" t="s">
        <v>790</v>
      </c>
      <c r="T348">
        <v>22</v>
      </c>
      <c r="U348" t="str">
        <f>IF(Teacher_Data[[#This Row],[Completion_Status]]="Completed","Yes","No")</f>
        <v>Yes</v>
      </c>
      <c r="V348">
        <f>IF(Teacher_Data[[#This Row],[Completion_Status]]="Completed",1,0)</f>
        <v>1</v>
      </c>
      <c r="W348">
        <f>1</f>
        <v>1</v>
      </c>
      <c r="X348">
        <f>Teacher_Data[[#This Row],[End_Date]]-Teacher_Data[[#This Row],[Start_Date]]</f>
        <v>16</v>
      </c>
      <c r="Y348" t="str">
        <f>_xlfn.IFS(Teacher_Data[[#This Row],[Experience_Years]]&lt;=5,"0-5 Years",Teacher_Data[[#This Row],[Experience_Years]]&lt;=10,"5-10 Years",Teacher_Data[[#This Row],[Experience_Years]]&lt;=20,"11-20 Years",TRUE,"20+ Years")</f>
        <v>20+ Years</v>
      </c>
    </row>
    <row r="349" spans="1:25" x14ac:dyDescent="0.3">
      <c r="A349" t="s">
        <v>791</v>
      </c>
      <c r="B349" t="s">
        <v>124</v>
      </c>
      <c r="C349" t="s">
        <v>22</v>
      </c>
      <c r="D349">
        <v>35</v>
      </c>
      <c r="E349" t="s">
        <v>66</v>
      </c>
      <c r="F349" t="s">
        <v>24</v>
      </c>
      <c r="G349" t="s">
        <v>25</v>
      </c>
      <c r="H349" t="s">
        <v>26</v>
      </c>
      <c r="I349" t="s">
        <v>27</v>
      </c>
      <c r="J349" s="1">
        <v>45387</v>
      </c>
      <c r="K349" s="1">
        <v>45400</v>
      </c>
      <c r="L349" t="s">
        <v>60</v>
      </c>
      <c r="M349" s="2">
        <v>6</v>
      </c>
      <c r="O349" t="s">
        <v>29</v>
      </c>
      <c r="P349">
        <v>40</v>
      </c>
      <c r="Q349" t="s">
        <v>30</v>
      </c>
      <c r="R349" t="s">
        <v>72</v>
      </c>
      <c r="S349" t="s">
        <v>792</v>
      </c>
      <c r="T349">
        <v>25</v>
      </c>
      <c r="U349" t="str">
        <f>IF(Teacher_Data[[#This Row],[Completion_Status]]="Completed","Yes","No")</f>
        <v>No</v>
      </c>
      <c r="V349">
        <f>IF(Teacher_Data[[#This Row],[Completion_Status]]="Completed",1,0)</f>
        <v>0</v>
      </c>
      <c r="W349">
        <f>1</f>
        <v>1</v>
      </c>
      <c r="X349">
        <f>Teacher_Data[[#This Row],[End_Date]]-Teacher_Data[[#This Row],[Start_Date]]</f>
        <v>13</v>
      </c>
      <c r="Y349" t="str">
        <f>_xlfn.IFS(Teacher_Data[[#This Row],[Experience_Years]]&lt;=5,"0-5 Years",Teacher_Data[[#This Row],[Experience_Years]]&lt;=10,"5-10 Years",Teacher_Data[[#This Row],[Experience_Years]]&lt;=20,"11-20 Years",TRUE,"20+ Years")</f>
        <v>20+ Years</v>
      </c>
    </row>
    <row r="350" spans="1:25" x14ac:dyDescent="0.3">
      <c r="A350" t="s">
        <v>793</v>
      </c>
      <c r="B350" t="s">
        <v>86</v>
      </c>
      <c r="C350" t="s">
        <v>22</v>
      </c>
      <c r="D350">
        <v>50</v>
      </c>
      <c r="E350" t="s">
        <v>66</v>
      </c>
      <c r="F350" t="s">
        <v>24</v>
      </c>
      <c r="G350" t="s">
        <v>38</v>
      </c>
      <c r="H350" t="s">
        <v>50</v>
      </c>
      <c r="I350" t="s">
        <v>46</v>
      </c>
      <c r="J350" s="1">
        <v>45308</v>
      </c>
      <c r="K350" s="1">
        <v>45318</v>
      </c>
      <c r="L350" t="s">
        <v>60</v>
      </c>
      <c r="M350" s="2">
        <v>32</v>
      </c>
      <c r="O350" t="s">
        <v>29</v>
      </c>
      <c r="P350">
        <v>22</v>
      </c>
      <c r="Q350" t="s">
        <v>68</v>
      </c>
      <c r="R350" t="s">
        <v>104</v>
      </c>
      <c r="S350" t="s">
        <v>794</v>
      </c>
      <c r="T350">
        <v>21</v>
      </c>
      <c r="U350" t="str">
        <f>IF(Teacher_Data[[#This Row],[Completion_Status]]="Completed","Yes","No")</f>
        <v>No</v>
      </c>
      <c r="V350">
        <f>IF(Teacher_Data[[#This Row],[Completion_Status]]="Completed",1,0)</f>
        <v>0</v>
      </c>
      <c r="W350">
        <f>1</f>
        <v>1</v>
      </c>
      <c r="X350">
        <f>Teacher_Data[[#This Row],[End_Date]]-Teacher_Data[[#This Row],[Start_Date]]</f>
        <v>10</v>
      </c>
      <c r="Y350" t="str">
        <f>_xlfn.IFS(Teacher_Data[[#This Row],[Experience_Years]]&lt;=5,"0-5 Years",Teacher_Data[[#This Row],[Experience_Years]]&lt;=10,"5-10 Years",Teacher_Data[[#This Row],[Experience_Years]]&lt;=20,"11-20 Years",TRUE,"20+ Years")</f>
        <v>20+ Years</v>
      </c>
    </row>
    <row r="351" spans="1:25" x14ac:dyDescent="0.3">
      <c r="A351" t="s">
        <v>795</v>
      </c>
      <c r="B351" t="s">
        <v>176</v>
      </c>
      <c r="C351" t="s">
        <v>22</v>
      </c>
      <c r="D351">
        <v>35</v>
      </c>
      <c r="E351" t="s">
        <v>66</v>
      </c>
      <c r="F351" t="s">
        <v>24</v>
      </c>
      <c r="G351" t="s">
        <v>25</v>
      </c>
      <c r="H351" t="s">
        <v>50</v>
      </c>
      <c r="I351" t="s">
        <v>46</v>
      </c>
      <c r="J351" s="1">
        <v>45332</v>
      </c>
      <c r="K351" s="1">
        <v>45356</v>
      </c>
      <c r="L351" t="s">
        <v>28</v>
      </c>
      <c r="M351" s="2">
        <v>55</v>
      </c>
      <c r="O351" t="s">
        <v>29</v>
      </c>
      <c r="P351">
        <v>12</v>
      </c>
      <c r="Q351" t="s">
        <v>40</v>
      </c>
      <c r="R351" t="s">
        <v>104</v>
      </c>
      <c r="S351" t="s">
        <v>796</v>
      </c>
      <c r="T351">
        <v>8</v>
      </c>
      <c r="U351" t="str">
        <f>IF(Teacher_Data[[#This Row],[Completion_Status]]="Completed","Yes","No")</f>
        <v>No</v>
      </c>
      <c r="V351">
        <f>IF(Teacher_Data[[#This Row],[Completion_Status]]="Completed",1,0)</f>
        <v>0</v>
      </c>
      <c r="W351">
        <f>1</f>
        <v>1</v>
      </c>
      <c r="X351">
        <f>Teacher_Data[[#This Row],[End_Date]]-Teacher_Data[[#This Row],[Start_Date]]</f>
        <v>24</v>
      </c>
      <c r="Y351" t="str">
        <f>_xlfn.IFS(Teacher_Data[[#This Row],[Experience_Years]]&lt;=5,"0-5 Years",Teacher_Data[[#This Row],[Experience_Years]]&lt;=10,"5-10 Years",Teacher_Data[[#This Row],[Experience_Years]]&lt;=20,"11-20 Years",TRUE,"20+ Years")</f>
        <v>5-10 Years</v>
      </c>
    </row>
    <row r="352" spans="1:25" x14ac:dyDescent="0.3">
      <c r="A352" t="s">
        <v>797</v>
      </c>
      <c r="B352" t="s">
        <v>21</v>
      </c>
      <c r="C352" t="s">
        <v>22</v>
      </c>
      <c r="D352">
        <v>60</v>
      </c>
      <c r="E352" t="s">
        <v>36</v>
      </c>
      <c r="F352" t="s">
        <v>24</v>
      </c>
      <c r="G352" t="s">
        <v>58</v>
      </c>
      <c r="H352" t="s">
        <v>59</v>
      </c>
      <c r="I352" t="s">
        <v>51</v>
      </c>
      <c r="J352" s="1">
        <v>45531</v>
      </c>
      <c r="K352" s="1">
        <v>45562</v>
      </c>
      <c r="L352" t="s">
        <v>52</v>
      </c>
      <c r="M352" s="2">
        <v>46</v>
      </c>
      <c r="N352">
        <v>86</v>
      </c>
      <c r="O352" t="s">
        <v>53</v>
      </c>
      <c r="P352">
        <v>29</v>
      </c>
      <c r="Q352" t="s">
        <v>40</v>
      </c>
      <c r="R352" t="s">
        <v>41</v>
      </c>
      <c r="S352" t="s">
        <v>798</v>
      </c>
      <c r="T352">
        <v>34</v>
      </c>
      <c r="U352" t="str">
        <f>IF(Teacher_Data[[#This Row],[Completion_Status]]="Completed","Yes","No")</f>
        <v>Yes</v>
      </c>
      <c r="V352">
        <f>IF(Teacher_Data[[#This Row],[Completion_Status]]="Completed",1,0)</f>
        <v>1</v>
      </c>
      <c r="W352">
        <f>1</f>
        <v>1</v>
      </c>
      <c r="X352">
        <f>Teacher_Data[[#This Row],[End_Date]]-Teacher_Data[[#This Row],[Start_Date]]</f>
        <v>31</v>
      </c>
      <c r="Y352" t="str">
        <f>_xlfn.IFS(Teacher_Data[[#This Row],[Experience_Years]]&lt;=5,"0-5 Years",Teacher_Data[[#This Row],[Experience_Years]]&lt;=10,"5-10 Years",Teacher_Data[[#This Row],[Experience_Years]]&lt;=20,"11-20 Years",TRUE,"20+ Years")</f>
        <v>20+ Years</v>
      </c>
    </row>
    <row r="353" spans="1:25" x14ac:dyDescent="0.3">
      <c r="A353" t="s">
        <v>799</v>
      </c>
      <c r="B353" t="s">
        <v>56</v>
      </c>
      <c r="C353" t="s">
        <v>22</v>
      </c>
      <c r="D353">
        <v>60</v>
      </c>
      <c r="E353" t="s">
        <v>36</v>
      </c>
      <c r="F353" t="s">
        <v>37</v>
      </c>
      <c r="G353" t="s">
        <v>38</v>
      </c>
      <c r="H353" t="s">
        <v>50</v>
      </c>
      <c r="I353" t="s">
        <v>51</v>
      </c>
      <c r="J353" s="1">
        <v>45514</v>
      </c>
      <c r="K353" s="1">
        <v>45522</v>
      </c>
      <c r="L353" t="s">
        <v>60</v>
      </c>
      <c r="M353" s="2">
        <v>40</v>
      </c>
      <c r="O353" t="s">
        <v>29</v>
      </c>
      <c r="P353">
        <v>40</v>
      </c>
      <c r="Q353" t="s">
        <v>40</v>
      </c>
      <c r="R353" t="s">
        <v>41</v>
      </c>
      <c r="S353" t="s">
        <v>800</v>
      </c>
      <c r="T353">
        <v>1</v>
      </c>
      <c r="U353" t="str">
        <f>IF(Teacher_Data[[#This Row],[Completion_Status]]="Completed","Yes","No")</f>
        <v>No</v>
      </c>
      <c r="V353">
        <f>IF(Teacher_Data[[#This Row],[Completion_Status]]="Completed",1,0)</f>
        <v>0</v>
      </c>
      <c r="W353">
        <f>1</f>
        <v>1</v>
      </c>
      <c r="X353">
        <f>Teacher_Data[[#This Row],[End_Date]]-Teacher_Data[[#This Row],[Start_Date]]</f>
        <v>8</v>
      </c>
      <c r="Y353" t="str">
        <f>_xlfn.IFS(Teacher_Data[[#This Row],[Experience_Years]]&lt;=5,"0-5 Years",Teacher_Data[[#This Row],[Experience_Years]]&lt;=10,"5-10 Years",Teacher_Data[[#This Row],[Experience_Years]]&lt;=20,"11-20 Years",TRUE,"20+ Years")</f>
        <v>0-5 Years</v>
      </c>
    </row>
    <row r="354" spans="1:25" x14ac:dyDescent="0.3">
      <c r="A354" t="s">
        <v>801</v>
      </c>
      <c r="B354" t="s">
        <v>121</v>
      </c>
      <c r="C354" t="s">
        <v>35</v>
      </c>
      <c r="D354">
        <v>42</v>
      </c>
      <c r="E354" t="s">
        <v>36</v>
      </c>
      <c r="F354" t="s">
        <v>100</v>
      </c>
      <c r="G354" t="s">
        <v>38</v>
      </c>
      <c r="H354" t="s">
        <v>26</v>
      </c>
      <c r="I354" t="s">
        <v>51</v>
      </c>
      <c r="J354" s="1">
        <v>45302</v>
      </c>
      <c r="K354" s="1">
        <v>45324</v>
      </c>
      <c r="L354" t="s">
        <v>52</v>
      </c>
      <c r="M354" s="2">
        <v>60</v>
      </c>
      <c r="N354">
        <v>52</v>
      </c>
      <c r="O354" t="s">
        <v>53</v>
      </c>
      <c r="P354">
        <v>6</v>
      </c>
      <c r="Q354" t="s">
        <v>68</v>
      </c>
      <c r="R354" t="s">
        <v>72</v>
      </c>
      <c r="S354" t="s">
        <v>802</v>
      </c>
      <c r="T354">
        <v>27</v>
      </c>
      <c r="U354" t="str">
        <f>IF(Teacher_Data[[#This Row],[Completion_Status]]="Completed","Yes","No")</f>
        <v>Yes</v>
      </c>
      <c r="V354">
        <f>IF(Teacher_Data[[#This Row],[Completion_Status]]="Completed",1,0)</f>
        <v>1</v>
      </c>
      <c r="W354">
        <f>1</f>
        <v>1</v>
      </c>
      <c r="X354">
        <f>Teacher_Data[[#This Row],[End_Date]]-Teacher_Data[[#This Row],[Start_Date]]</f>
        <v>22</v>
      </c>
      <c r="Y354" t="str">
        <f>_xlfn.IFS(Teacher_Data[[#This Row],[Experience_Years]]&lt;=5,"0-5 Years",Teacher_Data[[#This Row],[Experience_Years]]&lt;=10,"5-10 Years",Teacher_Data[[#This Row],[Experience_Years]]&lt;=20,"11-20 Years",TRUE,"20+ Years")</f>
        <v>20+ Years</v>
      </c>
    </row>
    <row r="355" spans="1:25" x14ac:dyDescent="0.3">
      <c r="A355" t="s">
        <v>803</v>
      </c>
      <c r="B355" t="s">
        <v>34</v>
      </c>
      <c r="C355" t="s">
        <v>35</v>
      </c>
      <c r="D355">
        <v>33</v>
      </c>
      <c r="E355" t="s">
        <v>23</v>
      </c>
      <c r="F355" t="s">
        <v>83</v>
      </c>
      <c r="G355" t="s">
        <v>76</v>
      </c>
      <c r="H355" t="s">
        <v>50</v>
      </c>
      <c r="I355" t="s">
        <v>46</v>
      </c>
      <c r="J355" s="1">
        <v>45483</v>
      </c>
      <c r="K355" s="1">
        <v>45540</v>
      </c>
      <c r="L355" t="s">
        <v>52</v>
      </c>
      <c r="M355" s="2">
        <v>63</v>
      </c>
      <c r="N355">
        <v>100</v>
      </c>
      <c r="O355" t="s">
        <v>53</v>
      </c>
      <c r="P355">
        <v>27</v>
      </c>
      <c r="Q355" t="s">
        <v>40</v>
      </c>
      <c r="R355" t="s">
        <v>41</v>
      </c>
      <c r="S355" t="s">
        <v>804</v>
      </c>
      <c r="T355">
        <v>16</v>
      </c>
      <c r="U355" t="str">
        <f>IF(Teacher_Data[[#This Row],[Completion_Status]]="Completed","Yes","No")</f>
        <v>Yes</v>
      </c>
      <c r="V355">
        <f>IF(Teacher_Data[[#This Row],[Completion_Status]]="Completed",1,0)</f>
        <v>1</v>
      </c>
      <c r="W355">
        <f>1</f>
        <v>1</v>
      </c>
      <c r="X355">
        <f>Teacher_Data[[#This Row],[End_Date]]-Teacher_Data[[#This Row],[Start_Date]]</f>
        <v>57</v>
      </c>
      <c r="Y355" t="str">
        <f>_xlfn.IFS(Teacher_Data[[#This Row],[Experience_Years]]&lt;=5,"0-5 Years",Teacher_Data[[#This Row],[Experience_Years]]&lt;=10,"5-10 Years",Teacher_Data[[#This Row],[Experience_Years]]&lt;=20,"11-20 Years",TRUE,"20+ Years")</f>
        <v>11-20 Years</v>
      </c>
    </row>
    <row r="356" spans="1:25" x14ac:dyDescent="0.3">
      <c r="A356" t="s">
        <v>805</v>
      </c>
      <c r="B356" t="s">
        <v>82</v>
      </c>
      <c r="C356" t="s">
        <v>22</v>
      </c>
      <c r="D356">
        <v>35</v>
      </c>
      <c r="E356" t="s">
        <v>66</v>
      </c>
      <c r="F356" t="s">
        <v>67</v>
      </c>
      <c r="G356" t="s">
        <v>38</v>
      </c>
      <c r="H356" t="s">
        <v>50</v>
      </c>
      <c r="I356" t="s">
        <v>27</v>
      </c>
      <c r="J356" s="1">
        <v>45316</v>
      </c>
      <c r="K356" s="1">
        <v>45351</v>
      </c>
      <c r="L356" t="s">
        <v>52</v>
      </c>
      <c r="M356" s="2">
        <v>70</v>
      </c>
      <c r="N356">
        <v>92</v>
      </c>
      <c r="O356" t="s">
        <v>53</v>
      </c>
      <c r="P356">
        <v>53</v>
      </c>
      <c r="Q356" t="s">
        <v>30</v>
      </c>
      <c r="R356" t="s">
        <v>41</v>
      </c>
      <c r="S356" t="s">
        <v>806</v>
      </c>
      <c r="T356">
        <v>4</v>
      </c>
      <c r="U356" t="str">
        <f>IF(Teacher_Data[[#This Row],[Completion_Status]]="Completed","Yes","No")</f>
        <v>Yes</v>
      </c>
      <c r="V356">
        <f>IF(Teacher_Data[[#This Row],[Completion_Status]]="Completed",1,0)</f>
        <v>1</v>
      </c>
      <c r="W356">
        <f>1</f>
        <v>1</v>
      </c>
      <c r="X356">
        <f>Teacher_Data[[#This Row],[End_Date]]-Teacher_Data[[#This Row],[Start_Date]]</f>
        <v>35</v>
      </c>
      <c r="Y356" t="str">
        <f>_xlfn.IFS(Teacher_Data[[#This Row],[Experience_Years]]&lt;=5,"0-5 Years",Teacher_Data[[#This Row],[Experience_Years]]&lt;=10,"5-10 Years",Teacher_Data[[#This Row],[Experience_Years]]&lt;=20,"11-20 Years",TRUE,"20+ Years")</f>
        <v>0-5 Years</v>
      </c>
    </row>
    <row r="357" spans="1:25" x14ac:dyDescent="0.3">
      <c r="A357" t="s">
        <v>807</v>
      </c>
      <c r="B357" t="s">
        <v>82</v>
      </c>
      <c r="C357" t="s">
        <v>22</v>
      </c>
      <c r="D357">
        <v>46</v>
      </c>
      <c r="E357" t="s">
        <v>23</v>
      </c>
      <c r="F357" t="s">
        <v>24</v>
      </c>
      <c r="G357" t="s">
        <v>45</v>
      </c>
      <c r="H357" t="s">
        <v>39</v>
      </c>
      <c r="I357" t="s">
        <v>51</v>
      </c>
      <c r="J357" s="1">
        <v>45355</v>
      </c>
      <c r="K357" s="1">
        <v>45378</v>
      </c>
      <c r="L357" t="s">
        <v>52</v>
      </c>
      <c r="M357" s="2">
        <v>42</v>
      </c>
      <c r="N357">
        <v>62</v>
      </c>
      <c r="O357" t="s">
        <v>53</v>
      </c>
      <c r="P357">
        <v>15</v>
      </c>
      <c r="Q357" t="s">
        <v>61</v>
      </c>
      <c r="R357" t="s">
        <v>104</v>
      </c>
      <c r="S357" t="s">
        <v>808</v>
      </c>
      <c r="T357">
        <v>9</v>
      </c>
      <c r="U357" t="str">
        <f>IF(Teacher_Data[[#This Row],[Completion_Status]]="Completed","Yes","No")</f>
        <v>Yes</v>
      </c>
      <c r="V357">
        <f>IF(Teacher_Data[[#This Row],[Completion_Status]]="Completed",1,0)</f>
        <v>1</v>
      </c>
      <c r="W357">
        <f>1</f>
        <v>1</v>
      </c>
      <c r="X357">
        <f>Teacher_Data[[#This Row],[End_Date]]-Teacher_Data[[#This Row],[Start_Date]]</f>
        <v>23</v>
      </c>
      <c r="Y357" t="str">
        <f>_xlfn.IFS(Teacher_Data[[#This Row],[Experience_Years]]&lt;=5,"0-5 Years",Teacher_Data[[#This Row],[Experience_Years]]&lt;=10,"5-10 Years",Teacher_Data[[#This Row],[Experience_Years]]&lt;=20,"11-20 Years",TRUE,"20+ Years")</f>
        <v>5-10 Years</v>
      </c>
    </row>
    <row r="358" spans="1:25" x14ac:dyDescent="0.3">
      <c r="A358" t="s">
        <v>809</v>
      </c>
      <c r="B358" t="s">
        <v>65</v>
      </c>
      <c r="C358" t="s">
        <v>22</v>
      </c>
      <c r="D358">
        <v>37</v>
      </c>
      <c r="E358" t="s">
        <v>23</v>
      </c>
      <c r="F358" t="s">
        <v>67</v>
      </c>
      <c r="G358" t="s">
        <v>58</v>
      </c>
      <c r="H358" t="s">
        <v>26</v>
      </c>
      <c r="I358" t="s">
        <v>51</v>
      </c>
      <c r="J358" s="1">
        <v>45458</v>
      </c>
      <c r="K358" s="1">
        <v>45486</v>
      </c>
      <c r="L358" t="s">
        <v>52</v>
      </c>
      <c r="M358" s="2">
        <v>72</v>
      </c>
      <c r="N358">
        <v>63</v>
      </c>
      <c r="O358" t="s">
        <v>53</v>
      </c>
      <c r="P358">
        <v>39</v>
      </c>
      <c r="Q358" t="s">
        <v>61</v>
      </c>
      <c r="R358" t="s">
        <v>41</v>
      </c>
      <c r="S358" t="s">
        <v>810</v>
      </c>
      <c r="T358">
        <v>28</v>
      </c>
      <c r="U358" t="str">
        <f>IF(Teacher_Data[[#This Row],[Completion_Status]]="Completed","Yes","No")</f>
        <v>Yes</v>
      </c>
      <c r="V358">
        <f>IF(Teacher_Data[[#This Row],[Completion_Status]]="Completed",1,0)</f>
        <v>1</v>
      </c>
      <c r="W358">
        <f>1</f>
        <v>1</v>
      </c>
      <c r="X358">
        <f>Teacher_Data[[#This Row],[End_Date]]-Teacher_Data[[#This Row],[Start_Date]]</f>
        <v>28</v>
      </c>
      <c r="Y358" t="str">
        <f>_xlfn.IFS(Teacher_Data[[#This Row],[Experience_Years]]&lt;=5,"0-5 Years",Teacher_Data[[#This Row],[Experience_Years]]&lt;=10,"5-10 Years",Teacher_Data[[#This Row],[Experience_Years]]&lt;=20,"11-20 Years",TRUE,"20+ Years")</f>
        <v>20+ Years</v>
      </c>
    </row>
    <row r="359" spans="1:25" x14ac:dyDescent="0.3">
      <c r="A359" t="s">
        <v>811</v>
      </c>
      <c r="B359" t="s">
        <v>308</v>
      </c>
      <c r="C359" t="s">
        <v>35</v>
      </c>
      <c r="D359">
        <v>55</v>
      </c>
      <c r="E359" t="s">
        <v>66</v>
      </c>
      <c r="F359" t="s">
        <v>100</v>
      </c>
      <c r="G359" t="s">
        <v>45</v>
      </c>
      <c r="H359" t="s">
        <v>39</v>
      </c>
      <c r="I359" t="s">
        <v>27</v>
      </c>
      <c r="J359" s="1">
        <v>45554</v>
      </c>
      <c r="K359" s="1">
        <v>45576</v>
      </c>
      <c r="L359" t="s">
        <v>52</v>
      </c>
      <c r="M359" s="2">
        <v>95</v>
      </c>
      <c r="N359">
        <v>65</v>
      </c>
      <c r="O359" t="s">
        <v>53</v>
      </c>
      <c r="P359">
        <v>5</v>
      </c>
      <c r="Q359" t="s">
        <v>61</v>
      </c>
      <c r="R359" t="s">
        <v>31</v>
      </c>
      <c r="S359" t="s">
        <v>812</v>
      </c>
      <c r="T359">
        <v>15</v>
      </c>
      <c r="U359" t="str">
        <f>IF(Teacher_Data[[#This Row],[Completion_Status]]="Completed","Yes","No")</f>
        <v>Yes</v>
      </c>
      <c r="V359">
        <f>IF(Teacher_Data[[#This Row],[Completion_Status]]="Completed",1,0)</f>
        <v>1</v>
      </c>
      <c r="W359">
        <f>1</f>
        <v>1</v>
      </c>
      <c r="X359">
        <f>Teacher_Data[[#This Row],[End_Date]]-Teacher_Data[[#This Row],[Start_Date]]</f>
        <v>22</v>
      </c>
      <c r="Y359" t="str">
        <f>_xlfn.IFS(Teacher_Data[[#This Row],[Experience_Years]]&lt;=5,"0-5 Years",Teacher_Data[[#This Row],[Experience_Years]]&lt;=10,"5-10 Years",Teacher_Data[[#This Row],[Experience_Years]]&lt;=20,"11-20 Years",TRUE,"20+ Years")</f>
        <v>11-20 Years</v>
      </c>
    </row>
    <row r="360" spans="1:25" x14ac:dyDescent="0.3">
      <c r="A360" t="s">
        <v>813</v>
      </c>
      <c r="B360" t="s">
        <v>44</v>
      </c>
      <c r="C360" t="s">
        <v>35</v>
      </c>
      <c r="D360">
        <v>60</v>
      </c>
      <c r="E360" t="s">
        <v>57</v>
      </c>
      <c r="F360" t="s">
        <v>24</v>
      </c>
      <c r="G360" t="s">
        <v>58</v>
      </c>
      <c r="H360" t="s">
        <v>39</v>
      </c>
      <c r="I360" t="s">
        <v>27</v>
      </c>
      <c r="J360" s="1">
        <v>45581</v>
      </c>
      <c r="K360" s="1">
        <v>45617</v>
      </c>
      <c r="L360" t="s">
        <v>60</v>
      </c>
      <c r="M360" s="2">
        <v>21</v>
      </c>
      <c r="O360" t="s">
        <v>29</v>
      </c>
      <c r="P360">
        <v>54</v>
      </c>
      <c r="Q360" t="s">
        <v>68</v>
      </c>
      <c r="R360" t="s">
        <v>104</v>
      </c>
      <c r="S360" t="s">
        <v>814</v>
      </c>
      <c r="T360">
        <v>17</v>
      </c>
      <c r="U360" t="str">
        <f>IF(Teacher_Data[[#This Row],[Completion_Status]]="Completed","Yes","No")</f>
        <v>No</v>
      </c>
      <c r="V360">
        <f>IF(Teacher_Data[[#This Row],[Completion_Status]]="Completed",1,0)</f>
        <v>0</v>
      </c>
      <c r="W360">
        <f>1</f>
        <v>1</v>
      </c>
      <c r="X360">
        <f>Teacher_Data[[#This Row],[End_Date]]-Teacher_Data[[#This Row],[Start_Date]]</f>
        <v>36</v>
      </c>
      <c r="Y360" t="str">
        <f>_xlfn.IFS(Teacher_Data[[#This Row],[Experience_Years]]&lt;=5,"0-5 Years",Teacher_Data[[#This Row],[Experience_Years]]&lt;=10,"5-10 Years",Teacher_Data[[#This Row],[Experience_Years]]&lt;=20,"11-20 Years",TRUE,"20+ Years")</f>
        <v>11-20 Years</v>
      </c>
    </row>
    <row r="361" spans="1:25" x14ac:dyDescent="0.3">
      <c r="A361" t="s">
        <v>815</v>
      </c>
      <c r="B361" t="s">
        <v>167</v>
      </c>
      <c r="C361" t="s">
        <v>22</v>
      </c>
      <c r="D361">
        <v>30</v>
      </c>
      <c r="E361" t="s">
        <v>23</v>
      </c>
      <c r="F361" t="s">
        <v>100</v>
      </c>
      <c r="G361" t="s">
        <v>45</v>
      </c>
      <c r="H361" t="s">
        <v>39</v>
      </c>
      <c r="I361" t="s">
        <v>51</v>
      </c>
      <c r="J361" s="1">
        <v>45476</v>
      </c>
      <c r="K361" s="1">
        <v>45482</v>
      </c>
      <c r="L361" t="s">
        <v>60</v>
      </c>
      <c r="M361" s="2">
        <v>32</v>
      </c>
      <c r="O361" t="s">
        <v>29</v>
      </c>
      <c r="P361">
        <v>11</v>
      </c>
      <c r="Q361" t="s">
        <v>61</v>
      </c>
      <c r="R361" t="s">
        <v>104</v>
      </c>
      <c r="S361" t="s">
        <v>816</v>
      </c>
      <c r="T361">
        <v>31</v>
      </c>
      <c r="U361" t="str">
        <f>IF(Teacher_Data[[#This Row],[Completion_Status]]="Completed","Yes","No")</f>
        <v>No</v>
      </c>
      <c r="V361">
        <f>IF(Teacher_Data[[#This Row],[Completion_Status]]="Completed",1,0)</f>
        <v>0</v>
      </c>
      <c r="W361">
        <f>1</f>
        <v>1</v>
      </c>
      <c r="X361">
        <f>Teacher_Data[[#This Row],[End_Date]]-Teacher_Data[[#This Row],[Start_Date]]</f>
        <v>6</v>
      </c>
      <c r="Y361" t="str">
        <f>_xlfn.IFS(Teacher_Data[[#This Row],[Experience_Years]]&lt;=5,"0-5 Years",Teacher_Data[[#This Row],[Experience_Years]]&lt;=10,"5-10 Years",Teacher_Data[[#This Row],[Experience_Years]]&lt;=20,"11-20 Years",TRUE,"20+ Years")</f>
        <v>20+ Years</v>
      </c>
    </row>
    <row r="362" spans="1:25" x14ac:dyDescent="0.3">
      <c r="A362" t="s">
        <v>817</v>
      </c>
      <c r="B362" t="s">
        <v>34</v>
      </c>
      <c r="C362" t="s">
        <v>22</v>
      </c>
      <c r="D362">
        <v>60</v>
      </c>
      <c r="E362" t="s">
        <v>57</v>
      </c>
      <c r="F362" t="s">
        <v>24</v>
      </c>
      <c r="G362" t="s">
        <v>58</v>
      </c>
      <c r="H362" t="s">
        <v>50</v>
      </c>
      <c r="I362" t="s">
        <v>51</v>
      </c>
      <c r="J362" s="1">
        <v>45308</v>
      </c>
      <c r="K362" s="1">
        <v>45320</v>
      </c>
      <c r="L362" t="s">
        <v>60</v>
      </c>
      <c r="M362" s="2">
        <v>27</v>
      </c>
      <c r="O362" t="s">
        <v>29</v>
      </c>
      <c r="P362">
        <v>41</v>
      </c>
      <c r="Q362" t="s">
        <v>40</v>
      </c>
      <c r="R362" t="s">
        <v>104</v>
      </c>
      <c r="S362" t="s">
        <v>818</v>
      </c>
      <c r="T362">
        <v>31</v>
      </c>
      <c r="U362" t="str">
        <f>IF(Teacher_Data[[#This Row],[Completion_Status]]="Completed","Yes","No")</f>
        <v>No</v>
      </c>
      <c r="V362">
        <f>IF(Teacher_Data[[#This Row],[Completion_Status]]="Completed",1,0)</f>
        <v>0</v>
      </c>
      <c r="W362">
        <f>1</f>
        <v>1</v>
      </c>
      <c r="X362">
        <f>Teacher_Data[[#This Row],[End_Date]]-Teacher_Data[[#This Row],[Start_Date]]</f>
        <v>12</v>
      </c>
      <c r="Y362" t="str">
        <f>_xlfn.IFS(Teacher_Data[[#This Row],[Experience_Years]]&lt;=5,"0-5 Years",Teacher_Data[[#This Row],[Experience_Years]]&lt;=10,"5-10 Years",Teacher_Data[[#This Row],[Experience_Years]]&lt;=20,"11-20 Years",TRUE,"20+ Years")</f>
        <v>20+ Years</v>
      </c>
    </row>
    <row r="363" spans="1:25" x14ac:dyDescent="0.3">
      <c r="A363" t="s">
        <v>819</v>
      </c>
      <c r="B363" t="s">
        <v>86</v>
      </c>
      <c r="C363" t="s">
        <v>35</v>
      </c>
      <c r="D363">
        <v>39</v>
      </c>
      <c r="E363" t="s">
        <v>66</v>
      </c>
      <c r="F363" t="s">
        <v>67</v>
      </c>
      <c r="G363" t="s">
        <v>58</v>
      </c>
      <c r="H363" t="s">
        <v>26</v>
      </c>
      <c r="I363" t="s">
        <v>27</v>
      </c>
      <c r="J363" s="1">
        <v>45383</v>
      </c>
      <c r="K363" s="1">
        <v>45441</v>
      </c>
      <c r="L363" t="s">
        <v>52</v>
      </c>
      <c r="M363" s="2">
        <v>58</v>
      </c>
      <c r="N363">
        <v>82</v>
      </c>
      <c r="O363" t="s">
        <v>53</v>
      </c>
      <c r="P363">
        <v>26</v>
      </c>
      <c r="Q363" t="s">
        <v>40</v>
      </c>
      <c r="R363" t="s">
        <v>72</v>
      </c>
      <c r="S363" t="s">
        <v>820</v>
      </c>
      <c r="T363">
        <v>30</v>
      </c>
      <c r="U363" t="str">
        <f>IF(Teacher_Data[[#This Row],[Completion_Status]]="Completed","Yes","No")</f>
        <v>Yes</v>
      </c>
      <c r="V363">
        <f>IF(Teacher_Data[[#This Row],[Completion_Status]]="Completed",1,0)</f>
        <v>1</v>
      </c>
      <c r="W363">
        <f>1</f>
        <v>1</v>
      </c>
      <c r="X363">
        <f>Teacher_Data[[#This Row],[End_Date]]-Teacher_Data[[#This Row],[Start_Date]]</f>
        <v>58</v>
      </c>
      <c r="Y363" t="str">
        <f>_xlfn.IFS(Teacher_Data[[#This Row],[Experience_Years]]&lt;=5,"0-5 Years",Teacher_Data[[#This Row],[Experience_Years]]&lt;=10,"5-10 Years",Teacher_Data[[#This Row],[Experience_Years]]&lt;=20,"11-20 Years",TRUE,"20+ Years")</f>
        <v>20+ Years</v>
      </c>
    </row>
    <row r="364" spans="1:25" x14ac:dyDescent="0.3">
      <c r="A364" t="s">
        <v>821</v>
      </c>
      <c r="B364" t="s">
        <v>140</v>
      </c>
      <c r="C364" t="s">
        <v>22</v>
      </c>
      <c r="D364">
        <v>25</v>
      </c>
      <c r="E364" t="s">
        <v>36</v>
      </c>
      <c r="F364" t="s">
        <v>100</v>
      </c>
      <c r="G364" t="s">
        <v>58</v>
      </c>
      <c r="H364" t="s">
        <v>39</v>
      </c>
      <c r="I364" t="s">
        <v>46</v>
      </c>
      <c r="J364" s="1">
        <v>45469</v>
      </c>
      <c r="K364" s="1">
        <v>45517</v>
      </c>
      <c r="L364" t="s">
        <v>60</v>
      </c>
      <c r="M364" s="2">
        <v>26</v>
      </c>
      <c r="O364" t="s">
        <v>29</v>
      </c>
      <c r="P364">
        <v>40</v>
      </c>
      <c r="Q364" t="s">
        <v>30</v>
      </c>
      <c r="R364" t="s">
        <v>72</v>
      </c>
      <c r="S364" t="s">
        <v>822</v>
      </c>
      <c r="T364">
        <v>4</v>
      </c>
      <c r="U364" t="str">
        <f>IF(Teacher_Data[[#This Row],[Completion_Status]]="Completed","Yes","No")</f>
        <v>No</v>
      </c>
      <c r="V364">
        <f>IF(Teacher_Data[[#This Row],[Completion_Status]]="Completed",1,0)</f>
        <v>0</v>
      </c>
      <c r="W364">
        <f>1</f>
        <v>1</v>
      </c>
      <c r="X364">
        <f>Teacher_Data[[#This Row],[End_Date]]-Teacher_Data[[#This Row],[Start_Date]]</f>
        <v>48</v>
      </c>
      <c r="Y364" t="str">
        <f>_xlfn.IFS(Teacher_Data[[#This Row],[Experience_Years]]&lt;=5,"0-5 Years",Teacher_Data[[#This Row],[Experience_Years]]&lt;=10,"5-10 Years",Teacher_Data[[#This Row],[Experience_Years]]&lt;=20,"11-20 Years",TRUE,"20+ Years")</f>
        <v>0-5 Years</v>
      </c>
    </row>
    <row r="365" spans="1:25" x14ac:dyDescent="0.3">
      <c r="A365" t="s">
        <v>823</v>
      </c>
      <c r="B365" t="s">
        <v>191</v>
      </c>
      <c r="C365" t="s">
        <v>35</v>
      </c>
      <c r="D365">
        <v>53</v>
      </c>
      <c r="E365" t="s">
        <v>66</v>
      </c>
      <c r="F365" t="s">
        <v>37</v>
      </c>
      <c r="G365" t="s">
        <v>25</v>
      </c>
      <c r="H365" t="s">
        <v>26</v>
      </c>
      <c r="I365" t="s">
        <v>27</v>
      </c>
      <c r="J365" s="1">
        <v>45527</v>
      </c>
      <c r="K365" s="1">
        <v>45573</v>
      </c>
      <c r="L365" t="s">
        <v>60</v>
      </c>
      <c r="M365" s="2">
        <v>29</v>
      </c>
      <c r="O365" t="s">
        <v>29</v>
      </c>
      <c r="P365">
        <v>20</v>
      </c>
      <c r="Q365" t="s">
        <v>30</v>
      </c>
      <c r="R365" t="s">
        <v>104</v>
      </c>
      <c r="S365" t="s">
        <v>824</v>
      </c>
      <c r="T365">
        <v>2</v>
      </c>
      <c r="U365" t="str">
        <f>IF(Teacher_Data[[#This Row],[Completion_Status]]="Completed","Yes","No")</f>
        <v>No</v>
      </c>
      <c r="V365">
        <f>IF(Teacher_Data[[#This Row],[Completion_Status]]="Completed",1,0)</f>
        <v>0</v>
      </c>
      <c r="W365">
        <f>1</f>
        <v>1</v>
      </c>
      <c r="X365">
        <f>Teacher_Data[[#This Row],[End_Date]]-Teacher_Data[[#This Row],[Start_Date]]</f>
        <v>46</v>
      </c>
      <c r="Y365" t="str">
        <f>_xlfn.IFS(Teacher_Data[[#This Row],[Experience_Years]]&lt;=5,"0-5 Years",Teacher_Data[[#This Row],[Experience_Years]]&lt;=10,"5-10 Years",Teacher_Data[[#This Row],[Experience_Years]]&lt;=20,"11-20 Years",TRUE,"20+ Years")</f>
        <v>0-5 Years</v>
      </c>
    </row>
    <row r="366" spans="1:25" x14ac:dyDescent="0.3">
      <c r="A366" t="s">
        <v>825</v>
      </c>
      <c r="B366" t="s">
        <v>115</v>
      </c>
      <c r="C366" t="s">
        <v>22</v>
      </c>
      <c r="D366">
        <v>27</v>
      </c>
      <c r="E366" t="s">
        <v>57</v>
      </c>
      <c r="F366" t="s">
        <v>37</v>
      </c>
      <c r="G366" t="s">
        <v>38</v>
      </c>
      <c r="H366" t="s">
        <v>39</v>
      </c>
      <c r="I366" t="s">
        <v>51</v>
      </c>
      <c r="J366" s="1">
        <v>45442</v>
      </c>
      <c r="K366" s="1">
        <v>45455</v>
      </c>
      <c r="L366" t="s">
        <v>52</v>
      </c>
      <c r="M366" s="2">
        <v>73</v>
      </c>
      <c r="N366">
        <v>57</v>
      </c>
      <c r="O366" t="s">
        <v>53</v>
      </c>
      <c r="P366">
        <v>50</v>
      </c>
      <c r="Q366" t="s">
        <v>30</v>
      </c>
      <c r="R366" t="s">
        <v>72</v>
      </c>
      <c r="S366" t="s">
        <v>826</v>
      </c>
      <c r="T366">
        <v>11</v>
      </c>
      <c r="U366" t="str">
        <f>IF(Teacher_Data[[#This Row],[Completion_Status]]="Completed","Yes","No")</f>
        <v>Yes</v>
      </c>
      <c r="V366">
        <f>IF(Teacher_Data[[#This Row],[Completion_Status]]="Completed",1,0)</f>
        <v>1</v>
      </c>
      <c r="W366">
        <f>1</f>
        <v>1</v>
      </c>
      <c r="X366">
        <f>Teacher_Data[[#This Row],[End_Date]]-Teacher_Data[[#This Row],[Start_Date]]</f>
        <v>13</v>
      </c>
      <c r="Y366" t="str">
        <f>_xlfn.IFS(Teacher_Data[[#This Row],[Experience_Years]]&lt;=5,"0-5 Years",Teacher_Data[[#This Row],[Experience_Years]]&lt;=10,"5-10 Years",Teacher_Data[[#This Row],[Experience_Years]]&lt;=20,"11-20 Years",TRUE,"20+ Years")</f>
        <v>11-20 Years</v>
      </c>
    </row>
    <row r="367" spans="1:25" x14ac:dyDescent="0.3">
      <c r="A367" t="s">
        <v>827</v>
      </c>
      <c r="B367" t="s">
        <v>191</v>
      </c>
      <c r="C367" t="s">
        <v>22</v>
      </c>
      <c r="D367">
        <v>44</v>
      </c>
      <c r="E367" t="s">
        <v>23</v>
      </c>
      <c r="F367" t="s">
        <v>67</v>
      </c>
      <c r="G367" t="s">
        <v>58</v>
      </c>
      <c r="H367" t="s">
        <v>39</v>
      </c>
      <c r="I367" t="s">
        <v>27</v>
      </c>
      <c r="J367" s="1">
        <v>45558</v>
      </c>
      <c r="K367" s="1">
        <v>45574</v>
      </c>
      <c r="L367" t="s">
        <v>52</v>
      </c>
      <c r="M367" s="2">
        <v>91</v>
      </c>
      <c r="N367">
        <v>90</v>
      </c>
      <c r="O367" t="s">
        <v>53</v>
      </c>
      <c r="P367">
        <v>15</v>
      </c>
      <c r="Q367" t="s">
        <v>40</v>
      </c>
      <c r="R367" t="s">
        <v>31</v>
      </c>
      <c r="S367" t="s">
        <v>828</v>
      </c>
      <c r="T367">
        <v>16</v>
      </c>
      <c r="U367" t="str">
        <f>IF(Teacher_Data[[#This Row],[Completion_Status]]="Completed","Yes","No")</f>
        <v>Yes</v>
      </c>
      <c r="V367">
        <f>IF(Teacher_Data[[#This Row],[Completion_Status]]="Completed",1,0)</f>
        <v>1</v>
      </c>
      <c r="W367">
        <f>1</f>
        <v>1</v>
      </c>
      <c r="X367">
        <f>Teacher_Data[[#This Row],[End_Date]]-Teacher_Data[[#This Row],[Start_Date]]</f>
        <v>16</v>
      </c>
      <c r="Y367" t="str">
        <f>_xlfn.IFS(Teacher_Data[[#This Row],[Experience_Years]]&lt;=5,"0-5 Years",Teacher_Data[[#This Row],[Experience_Years]]&lt;=10,"5-10 Years",Teacher_Data[[#This Row],[Experience_Years]]&lt;=20,"11-20 Years",TRUE,"20+ Years")</f>
        <v>11-20 Years</v>
      </c>
    </row>
    <row r="368" spans="1:25" x14ac:dyDescent="0.3">
      <c r="A368" t="s">
        <v>829</v>
      </c>
      <c r="B368" t="s">
        <v>118</v>
      </c>
      <c r="C368" t="s">
        <v>35</v>
      </c>
      <c r="D368">
        <v>48</v>
      </c>
      <c r="E368" t="s">
        <v>36</v>
      </c>
      <c r="F368" t="s">
        <v>100</v>
      </c>
      <c r="G368" t="s">
        <v>38</v>
      </c>
      <c r="H368" t="s">
        <v>26</v>
      </c>
      <c r="I368" t="s">
        <v>46</v>
      </c>
      <c r="J368" s="1">
        <v>45431</v>
      </c>
      <c r="K368" s="1">
        <v>45489</v>
      </c>
      <c r="L368" t="s">
        <v>60</v>
      </c>
      <c r="M368" s="2">
        <v>35</v>
      </c>
      <c r="O368" t="s">
        <v>29</v>
      </c>
      <c r="P368">
        <v>52</v>
      </c>
      <c r="Q368" t="s">
        <v>40</v>
      </c>
      <c r="R368" t="s">
        <v>72</v>
      </c>
      <c r="S368" t="s">
        <v>830</v>
      </c>
      <c r="T368">
        <v>35</v>
      </c>
      <c r="U368" t="str">
        <f>IF(Teacher_Data[[#This Row],[Completion_Status]]="Completed","Yes","No")</f>
        <v>No</v>
      </c>
      <c r="V368">
        <f>IF(Teacher_Data[[#This Row],[Completion_Status]]="Completed",1,0)</f>
        <v>0</v>
      </c>
      <c r="W368">
        <f>1</f>
        <v>1</v>
      </c>
      <c r="X368">
        <f>Teacher_Data[[#This Row],[End_Date]]-Teacher_Data[[#This Row],[Start_Date]]</f>
        <v>58</v>
      </c>
      <c r="Y368" t="str">
        <f>_xlfn.IFS(Teacher_Data[[#This Row],[Experience_Years]]&lt;=5,"0-5 Years",Teacher_Data[[#This Row],[Experience_Years]]&lt;=10,"5-10 Years",Teacher_Data[[#This Row],[Experience_Years]]&lt;=20,"11-20 Years",TRUE,"20+ Years")</f>
        <v>20+ Years</v>
      </c>
    </row>
    <row r="369" spans="1:25" x14ac:dyDescent="0.3">
      <c r="A369" t="s">
        <v>831</v>
      </c>
      <c r="B369" t="s">
        <v>103</v>
      </c>
      <c r="C369" t="s">
        <v>35</v>
      </c>
      <c r="D369">
        <v>44</v>
      </c>
      <c r="E369" t="s">
        <v>66</v>
      </c>
      <c r="F369" t="s">
        <v>100</v>
      </c>
      <c r="G369" t="s">
        <v>45</v>
      </c>
      <c r="H369" t="s">
        <v>50</v>
      </c>
      <c r="I369" t="s">
        <v>27</v>
      </c>
      <c r="J369" s="1">
        <v>45485</v>
      </c>
      <c r="K369" s="1">
        <v>45517</v>
      </c>
      <c r="L369" t="s">
        <v>52</v>
      </c>
      <c r="M369" s="2">
        <v>58</v>
      </c>
      <c r="N369">
        <v>99</v>
      </c>
      <c r="O369" t="s">
        <v>53</v>
      </c>
      <c r="P369">
        <v>36</v>
      </c>
      <c r="Q369" t="s">
        <v>61</v>
      </c>
      <c r="R369" t="s">
        <v>31</v>
      </c>
      <c r="S369" t="s">
        <v>832</v>
      </c>
      <c r="T369">
        <v>31</v>
      </c>
      <c r="U369" t="str">
        <f>IF(Teacher_Data[[#This Row],[Completion_Status]]="Completed","Yes","No")</f>
        <v>Yes</v>
      </c>
      <c r="V369">
        <f>IF(Teacher_Data[[#This Row],[Completion_Status]]="Completed",1,0)</f>
        <v>1</v>
      </c>
      <c r="W369">
        <f>1</f>
        <v>1</v>
      </c>
      <c r="X369">
        <f>Teacher_Data[[#This Row],[End_Date]]-Teacher_Data[[#This Row],[Start_Date]]</f>
        <v>32</v>
      </c>
      <c r="Y369" t="str">
        <f>_xlfn.IFS(Teacher_Data[[#This Row],[Experience_Years]]&lt;=5,"0-5 Years",Teacher_Data[[#This Row],[Experience_Years]]&lt;=10,"5-10 Years",Teacher_Data[[#This Row],[Experience_Years]]&lt;=20,"11-20 Years",TRUE,"20+ Years")</f>
        <v>20+ Years</v>
      </c>
    </row>
    <row r="370" spans="1:25" x14ac:dyDescent="0.3">
      <c r="A370" t="s">
        <v>833</v>
      </c>
      <c r="B370" t="s">
        <v>110</v>
      </c>
      <c r="C370" t="s">
        <v>22</v>
      </c>
      <c r="D370">
        <v>29</v>
      </c>
      <c r="E370" t="s">
        <v>36</v>
      </c>
      <c r="F370" t="s">
        <v>100</v>
      </c>
      <c r="G370" t="s">
        <v>76</v>
      </c>
      <c r="H370" t="s">
        <v>39</v>
      </c>
      <c r="I370" t="s">
        <v>51</v>
      </c>
      <c r="J370" s="1">
        <v>45343</v>
      </c>
      <c r="K370" s="1">
        <v>45368</v>
      </c>
      <c r="L370" t="s">
        <v>28</v>
      </c>
      <c r="M370" s="2">
        <v>47</v>
      </c>
      <c r="O370" t="s">
        <v>29</v>
      </c>
      <c r="P370">
        <v>35</v>
      </c>
      <c r="Q370" t="s">
        <v>40</v>
      </c>
      <c r="R370" t="s">
        <v>72</v>
      </c>
      <c r="S370" t="s">
        <v>834</v>
      </c>
      <c r="T370">
        <v>14</v>
      </c>
      <c r="U370" t="str">
        <f>IF(Teacher_Data[[#This Row],[Completion_Status]]="Completed","Yes","No")</f>
        <v>No</v>
      </c>
      <c r="V370">
        <f>IF(Teacher_Data[[#This Row],[Completion_Status]]="Completed",1,0)</f>
        <v>0</v>
      </c>
      <c r="W370">
        <f>1</f>
        <v>1</v>
      </c>
      <c r="X370">
        <f>Teacher_Data[[#This Row],[End_Date]]-Teacher_Data[[#This Row],[Start_Date]]</f>
        <v>25</v>
      </c>
      <c r="Y370" t="str">
        <f>_xlfn.IFS(Teacher_Data[[#This Row],[Experience_Years]]&lt;=5,"0-5 Years",Teacher_Data[[#This Row],[Experience_Years]]&lt;=10,"5-10 Years",Teacher_Data[[#This Row],[Experience_Years]]&lt;=20,"11-20 Years",TRUE,"20+ Years")</f>
        <v>11-20 Years</v>
      </c>
    </row>
    <row r="371" spans="1:25" x14ac:dyDescent="0.3">
      <c r="A371" t="s">
        <v>835</v>
      </c>
      <c r="B371" t="s">
        <v>34</v>
      </c>
      <c r="C371" t="s">
        <v>35</v>
      </c>
      <c r="D371">
        <v>58</v>
      </c>
      <c r="E371" t="s">
        <v>57</v>
      </c>
      <c r="F371" t="s">
        <v>37</v>
      </c>
      <c r="G371" t="s">
        <v>58</v>
      </c>
      <c r="H371" t="s">
        <v>26</v>
      </c>
      <c r="I371" t="s">
        <v>27</v>
      </c>
      <c r="J371" s="1">
        <v>45516</v>
      </c>
      <c r="K371" s="1">
        <v>45527</v>
      </c>
      <c r="L371" t="s">
        <v>28</v>
      </c>
      <c r="M371" s="2">
        <v>55</v>
      </c>
      <c r="O371" t="s">
        <v>29</v>
      </c>
      <c r="P371">
        <v>11</v>
      </c>
      <c r="Q371" t="s">
        <v>68</v>
      </c>
      <c r="R371" t="s">
        <v>72</v>
      </c>
      <c r="S371" t="s">
        <v>836</v>
      </c>
      <c r="T371">
        <v>11</v>
      </c>
      <c r="U371" t="str">
        <f>IF(Teacher_Data[[#This Row],[Completion_Status]]="Completed","Yes","No")</f>
        <v>No</v>
      </c>
      <c r="V371">
        <f>IF(Teacher_Data[[#This Row],[Completion_Status]]="Completed",1,0)</f>
        <v>0</v>
      </c>
      <c r="W371">
        <f>1</f>
        <v>1</v>
      </c>
      <c r="X371">
        <f>Teacher_Data[[#This Row],[End_Date]]-Teacher_Data[[#This Row],[Start_Date]]</f>
        <v>11</v>
      </c>
      <c r="Y371" t="str">
        <f>_xlfn.IFS(Teacher_Data[[#This Row],[Experience_Years]]&lt;=5,"0-5 Years",Teacher_Data[[#This Row],[Experience_Years]]&lt;=10,"5-10 Years",Teacher_Data[[#This Row],[Experience_Years]]&lt;=20,"11-20 Years",TRUE,"20+ Years")</f>
        <v>11-20 Years</v>
      </c>
    </row>
    <row r="372" spans="1:25" x14ac:dyDescent="0.3">
      <c r="A372" t="s">
        <v>837</v>
      </c>
      <c r="B372" t="s">
        <v>71</v>
      </c>
      <c r="C372" t="s">
        <v>22</v>
      </c>
      <c r="D372">
        <v>25</v>
      </c>
      <c r="E372" t="s">
        <v>36</v>
      </c>
      <c r="F372" t="s">
        <v>37</v>
      </c>
      <c r="G372" t="s">
        <v>58</v>
      </c>
      <c r="H372" t="s">
        <v>59</v>
      </c>
      <c r="I372" t="s">
        <v>46</v>
      </c>
      <c r="J372" s="1">
        <v>45440</v>
      </c>
      <c r="K372" s="1">
        <v>45495</v>
      </c>
      <c r="L372" t="s">
        <v>52</v>
      </c>
      <c r="M372" s="2">
        <v>83</v>
      </c>
      <c r="N372">
        <v>57</v>
      </c>
      <c r="O372" t="s">
        <v>53</v>
      </c>
      <c r="P372">
        <v>39</v>
      </c>
      <c r="Q372" t="s">
        <v>40</v>
      </c>
      <c r="R372" t="s">
        <v>104</v>
      </c>
      <c r="S372" t="s">
        <v>838</v>
      </c>
      <c r="T372">
        <v>9</v>
      </c>
      <c r="U372" t="str">
        <f>IF(Teacher_Data[[#This Row],[Completion_Status]]="Completed","Yes","No")</f>
        <v>Yes</v>
      </c>
      <c r="V372">
        <f>IF(Teacher_Data[[#This Row],[Completion_Status]]="Completed",1,0)</f>
        <v>1</v>
      </c>
      <c r="W372">
        <f>1</f>
        <v>1</v>
      </c>
      <c r="X372">
        <f>Teacher_Data[[#This Row],[End_Date]]-Teacher_Data[[#This Row],[Start_Date]]</f>
        <v>55</v>
      </c>
      <c r="Y372" t="str">
        <f>_xlfn.IFS(Teacher_Data[[#This Row],[Experience_Years]]&lt;=5,"0-5 Years",Teacher_Data[[#This Row],[Experience_Years]]&lt;=10,"5-10 Years",Teacher_Data[[#This Row],[Experience_Years]]&lt;=20,"11-20 Years",TRUE,"20+ Years")</f>
        <v>5-10 Years</v>
      </c>
    </row>
    <row r="373" spans="1:25" x14ac:dyDescent="0.3">
      <c r="A373" t="s">
        <v>839</v>
      </c>
      <c r="B373" t="s">
        <v>179</v>
      </c>
      <c r="C373" t="s">
        <v>22</v>
      </c>
      <c r="D373">
        <v>35</v>
      </c>
      <c r="E373" t="s">
        <v>36</v>
      </c>
      <c r="F373" t="s">
        <v>83</v>
      </c>
      <c r="G373" t="s">
        <v>38</v>
      </c>
      <c r="H373" t="s">
        <v>50</v>
      </c>
      <c r="I373" t="s">
        <v>27</v>
      </c>
      <c r="J373" s="1">
        <v>45414</v>
      </c>
      <c r="K373" s="1">
        <v>45427</v>
      </c>
      <c r="L373" t="s">
        <v>52</v>
      </c>
      <c r="M373" s="2">
        <v>96</v>
      </c>
      <c r="N373">
        <v>52</v>
      </c>
      <c r="O373" t="s">
        <v>53</v>
      </c>
      <c r="P373">
        <v>42</v>
      </c>
      <c r="Q373" t="s">
        <v>30</v>
      </c>
      <c r="R373" t="s">
        <v>31</v>
      </c>
      <c r="S373" t="s">
        <v>840</v>
      </c>
      <c r="T373">
        <v>2</v>
      </c>
      <c r="U373" t="str">
        <f>IF(Teacher_Data[[#This Row],[Completion_Status]]="Completed","Yes","No")</f>
        <v>Yes</v>
      </c>
      <c r="V373">
        <f>IF(Teacher_Data[[#This Row],[Completion_Status]]="Completed",1,0)</f>
        <v>1</v>
      </c>
      <c r="W373">
        <f>1</f>
        <v>1</v>
      </c>
      <c r="X373">
        <f>Teacher_Data[[#This Row],[End_Date]]-Teacher_Data[[#This Row],[Start_Date]]</f>
        <v>13</v>
      </c>
      <c r="Y373" t="str">
        <f>_xlfn.IFS(Teacher_Data[[#This Row],[Experience_Years]]&lt;=5,"0-5 Years",Teacher_Data[[#This Row],[Experience_Years]]&lt;=10,"5-10 Years",Teacher_Data[[#This Row],[Experience_Years]]&lt;=20,"11-20 Years",TRUE,"20+ Years")</f>
        <v>0-5 Years</v>
      </c>
    </row>
    <row r="374" spans="1:25" x14ac:dyDescent="0.3">
      <c r="A374" t="s">
        <v>841</v>
      </c>
      <c r="B374" t="s">
        <v>99</v>
      </c>
      <c r="C374" t="s">
        <v>22</v>
      </c>
      <c r="D374">
        <v>56</v>
      </c>
      <c r="E374" t="s">
        <v>23</v>
      </c>
      <c r="F374" t="s">
        <v>100</v>
      </c>
      <c r="G374" t="s">
        <v>25</v>
      </c>
      <c r="H374" t="s">
        <v>26</v>
      </c>
      <c r="I374" t="s">
        <v>51</v>
      </c>
      <c r="J374" s="1">
        <v>45566</v>
      </c>
      <c r="K374" s="1">
        <v>45584</v>
      </c>
      <c r="L374" t="s">
        <v>60</v>
      </c>
      <c r="M374" s="2">
        <v>27</v>
      </c>
      <c r="O374" t="s">
        <v>29</v>
      </c>
      <c r="P374">
        <v>7</v>
      </c>
      <c r="Q374" t="s">
        <v>68</v>
      </c>
      <c r="R374" t="s">
        <v>41</v>
      </c>
      <c r="S374" t="s">
        <v>842</v>
      </c>
      <c r="T374">
        <v>11</v>
      </c>
      <c r="U374" t="str">
        <f>IF(Teacher_Data[[#This Row],[Completion_Status]]="Completed","Yes","No")</f>
        <v>No</v>
      </c>
      <c r="V374">
        <f>IF(Teacher_Data[[#This Row],[Completion_Status]]="Completed",1,0)</f>
        <v>0</v>
      </c>
      <c r="W374">
        <f>1</f>
        <v>1</v>
      </c>
      <c r="X374">
        <f>Teacher_Data[[#This Row],[End_Date]]-Teacher_Data[[#This Row],[Start_Date]]</f>
        <v>18</v>
      </c>
      <c r="Y374" t="str">
        <f>_xlfn.IFS(Teacher_Data[[#This Row],[Experience_Years]]&lt;=5,"0-5 Years",Teacher_Data[[#This Row],[Experience_Years]]&lt;=10,"5-10 Years",Teacher_Data[[#This Row],[Experience_Years]]&lt;=20,"11-20 Years",TRUE,"20+ Years")</f>
        <v>11-20 Years</v>
      </c>
    </row>
    <row r="375" spans="1:25" x14ac:dyDescent="0.3">
      <c r="A375" t="s">
        <v>843</v>
      </c>
      <c r="B375" t="s">
        <v>194</v>
      </c>
      <c r="C375" t="s">
        <v>22</v>
      </c>
      <c r="D375">
        <v>58</v>
      </c>
      <c r="E375" t="s">
        <v>57</v>
      </c>
      <c r="F375" t="s">
        <v>37</v>
      </c>
      <c r="G375" t="s">
        <v>58</v>
      </c>
      <c r="H375" t="s">
        <v>39</v>
      </c>
      <c r="I375" t="s">
        <v>51</v>
      </c>
      <c r="J375" s="1">
        <v>45591</v>
      </c>
      <c r="K375" s="1">
        <v>45606</v>
      </c>
      <c r="L375" t="s">
        <v>52</v>
      </c>
      <c r="M375" s="2">
        <v>65</v>
      </c>
      <c r="N375">
        <v>63</v>
      </c>
      <c r="O375" t="s">
        <v>53</v>
      </c>
      <c r="P375">
        <v>7</v>
      </c>
      <c r="Q375" t="s">
        <v>30</v>
      </c>
      <c r="R375" t="s">
        <v>62</v>
      </c>
      <c r="S375" t="s">
        <v>844</v>
      </c>
      <c r="T375">
        <v>2</v>
      </c>
      <c r="U375" t="str">
        <f>IF(Teacher_Data[[#This Row],[Completion_Status]]="Completed","Yes","No")</f>
        <v>Yes</v>
      </c>
      <c r="V375">
        <f>IF(Teacher_Data[[#This Row],[Completion_Status]]="Completed",1,0)</f>
        <v>1</v>
      </c>
      <c r="W375">
        <f>1</f>
        <v>1</v>
      </c>
      <c r="X375">
        <f>Teacher_Data[[#This Row],[End_Date]]-Teacher_Data[[#This Row],[Start_Date]]</f>
        <v>15</v>
      </c>
      <c r="Y375" t="str">
        <f>_xlfn.IFS(Teacher_Data[[#This Row],[Experience_Years]]&lt;=5,"0-5 Years",Teacher_Data[[#This Row],[Experience_Years]]&lt;=10,"5-10 Years",Teacher_Data[[#This Row],[Experience_Years]]&lt;=20,"11-20 Years",TRUE,"20+ Years")</f>
        <v>0-5 Years</v>
      </c>
    </row>
    <row r="376" spans="1:25" x14ac:dyDescent="0.3">
      <c r="A376" t="s">
        <v>845</v>
      </c>
      <c r="B376" t="s">
        <v>49</v>
      </c>
      <c r="C376" t="s">
        <v>22</v>
      </c>
      <c r="D376">
        <v>50</v>
      </c>
      <c r="E376" t="s">
        <v>57</v>
      </c>
      <c r="F376" t="s">
        <v>83</v>
      </c>
      <c r="G376" t="s">
        <v>58</v>
      </c>
      <c r="H376" t="s">
        <v>59</v>
      </c>
      <c r="I376" t="s">
        <v>27</v>
      </c>
      <c r="J376" s="1">
        <v>45384</v>
      </c>
      <c r="K376" s="1">
        <v>45391</v>
      </c>
      <c r="L376" t="s">
        <v>52</v>
      </c>
      <c r="M376" s="2">
        <v>64</v>
      </c>
      <c r="N376">
        <v>61</v>
      </c>
      <c r="O376" t="s">
        <v>53</v>
      </c>
      <c r="P376">
        <v>27</v>
      </c>
      <c r="Q376" t="s">
        <v>68</v>
      </c>
      <c r="R376" t="s">
        <v>72</v>
      </c>
      <c r="S376" t="s">
        <v>846</v>
      </c>
      <c r="T376">
        <v>15</v>
      </c>
      <c r="U376" t="str">
        <f>IF(Teacher_Data[[#This Row],[Completion_Status]]="Completed","Yes","No")</f>
        <v>Yes</v>
      </c>
      <c r="V376">
        <f>IF(Teacher_Data[[#This Row],[Completion_Status]]="Completed",1,0)</f>
        <v>1</v>
      </c>
      <c r="W376">
        <f>1</f>
        <v>1</v>
      </c>
      <c r="X376">
        <f>Teacher_Data[[#This Row],[End_Date]]-Teacher_Data[[#This Row],[Start_Date]]</f>
        <v>7</v>
      </c>
      <c r="Y376" t="str">
        <f>_xlfn.IFS(Teacher_Data[[#This Row],[Experience_Years]]&lt;=5,"0-5 Years",Teacher_Data[[#This Row],[Experience_Years]]&lt;=10,"5-10 Years",Teacher_Data[[#This Row],[Experience_Years]]&lt;=20,"11-20 Years",TRUE,"20+ Years")</f>
        <v>11-20 Years</v>
      </c>
    </row>
    <row r="377" spans="1:25" x14ac:dyDescent="0.3">
      <c r="A377" t="s">
        <v>847</v>
      </c>
      <c r="B377" t="s">
        <v>179</v>
      </c>
      <c r="C377" t="s">
        <v>22</v>
      </c>
      <c r="D377">
        <v>44</v>
      </c>
      <c r="E377" t="s">
        <v>57</v>
      </c>
      <c r="F377" t="s">
        <v>100</v>
      </c>
      <c r="G377" t="s">
        <v>76</v>
      </c>
      <c r="H377" t="s">
        <v>50</v>
      </c>
      <c r="I377" t="s">
        <v>27</v>
      </c>
      <c r="J377" s="1">
        <v>45566</v>
      </c>
      <c r="K377" s="1">
        <v>45607</v>
      </c>
      <c r="L377" t="s">
        <v>52</v>
      </c>
      <c r="M377" s="2">
        <v>67</v>
      </c>
      <c r="N377">
        <v>60</v>
      </c>
      <c r="O377" t="s">
        <v>53</v>
      </c>
      <c r="P377">
        <v>44</v>
      </c>
      <c r="Q377" t="s">
        <v>68</v>
      </c>
      <c r="R377" t="s">
        <v>41</v>
      </c>
      <c r="S377" t="s">
        <v>848</v>
      </c>
      <c r="T377">
        <v>8</v>
      </c>
      <c r="U377" t="str">
        <f>IF(Teacher_Data[[#This Row],[Completion_Status]]="Completed","Yes","No")</f>
        <v>Yes</v>
      </c>
      <c r="V377">
        <f>IF(Teacher_Data[[#This Row],[Completion_Status]]="Completed",1,0)</f>
        <v>1</v>
      </c>
      <c r="W377">
        <f>1</f>
        <v>1</v>
      </c>
      <c r="X377">
        <f>Teacher_Data[[#This Row],[End_Date]]-Teacher_Data[[#This Row],[Start_Date]]</f>
        <v>41</v>
      </c>
      <c r="Y377" t="str">
        <f>_xlfn.IFS(Teacher_Data[[#This Row],[Experience_Years]]&lt;=5,"0-5 Years",Teacher_Data[[#This Row],[Experience_Years]]&lt;=10,"5-10 Years",Teacher_Data[[#This Row],[Experience_Years]]&lt;=20,"11-20 Years",TRUE,"20+ Years")</f>
        <v>5-10 Years</v>
      </c>
    </row>
    <row r="378" spans="1:25" x14ac:dyDescent="0.3">
      <c r="A378" t="s">
        <v>849</v>
      </c>
      <c r="B378" t="s">
        <v>118</v>
      </c>
      <c r="C378" t="s">
        <v>22</v>
      </c>
      <c r="D378">
        <v>42</v>
      </c>
      <c r="E378" t="s">
        <v>57</v>
      </c>
      <c r="F378" t="s">
        <v>100</v>
      </c>
      <c r="G378" t="s">
        <v>38</v>
      </c>
      <c r="H378" t="s">
        <v>26</v>
      </c>
      <c r="I378" t="s">
        <v>46</v>
      </c>
      <c r="J378" s="1">
        <v>45571</v>
      </c>
      <c r="K378" s="1">
        <v>45594</v>
      </c>
      <c r="L378" t="s">
        <v>60</v>
      </c>
      <c r="M378" s="2">
        <v>38</v>
      </c>
      <c r="O378" t="s">
        <v>29</v>
      </c>
      <c r="P378">
        <v>34</v>
      </c>
      <c r="Q378" t="s">
        <v>40</v>
      </c>
      <c r="R378" t="s">
        <v>72</v>
      </c>
      <c r="S378" t="s">
        <v>850</v>
      </c>
      <c r="T378">
        <v>28</v>
      </c>
      <c r="U378" t="str">
        <f>IF(Teacher_Data[[#This Row],[Completion_Status]]="Completed","Yes","No")</f>
        <v>No</v>
      </c>
      <c r="V378">
        <f>IF(Teacher_Data[[#This Row],[Completion_Status]]="Completed",1,0)</f>
        <v>0</v>
      </c>
      <c r="W378">
        <f>1</f>
        <v>1</v>
      </c>
      <c r="X378">
        <f>Teacher_Data[[#This Row],[End_Date]]-Teacher_Data[[#This Row],[Start_Date]]</f>
        <v>23</v>
      </c>
      <c r="Y378" t="str">
        <f>_xlfn.IFS(Teacher_Data[[#This Row],[Experience_Years]]&lt;=5,"0-5 Years",Teacher_Data[[#This Row],[Experience_Years]]&lt;=10,"5-10 Years",Teacher_Data[[#This Row],[Experience_Years]]&lt;=20,"11-20 Years",TRUE,"20+ Years")</f>
        <v>20+ Years</v>
      </c>
    </row>
    <row r="379" spans="1:25" x14ac:dyDescent="0.3">
      <c r="A379" t="s">
        <v>851</v>
      </c>
      <c r="B379" t="s">
        <v>188</v>
      </c>
      <c r="C379" t="s">
        <v>35</v>
      </c>
      <c r="D379">
        <v>49</v>
      </c>
      <c r="E379" t="s">
        <v>57</v>
      </c>
      <c r="F379" t="s">
        <v>83</v>
      </c>
      <c r="G379" t="s">
        <v>38</v>
      </c>
      <c r="H379" t="s">
        <v>50</v>
      </c>
      <c r="I379" t="s">
        <v>27</v>
      </c>
      <c r="J379" s="1">
        <v>45544</v>
      </c>
      <c r="K379" s="1">
        <v>45572</v>
      </c>
      <c r="L379" t="s">
        <v>60</v>
      </c>
      <c r="M379" s="2">
        <v>11</v>
      </c>
      <c r="O379" t="s">
        <v>29</v>
      </c>
      <c r="P379">
        <v>23</v>
      </c>
      <c r="Q379" t="s">
        <v>61</v>
      </c>
      <c r="R379" t="s">
        <v>104</v>
      </c>
      <c r="S379" t="s">
        <v>852</v>
      </c>
      <c r="T379">
        <v>10</v>
      </c>
      <c r="U379" t="str">
        <f>IF(Teacher_Data[[#This Row],[Completion_Status]]="Completed","Yes","No")</f>
        <v>No</v>
      </c>
      <c r="V379">
        <f>IF(Teacher_Data[[#This Row],[Completion_Status]]="Completed",1,0)</f>
        <v>0</v>
      </c>
      <c r="W379">
        <f>1</f>
        <v>1</v>
      </c>
      <c r="X379">
        <f>Teacher_Data[[#This Row],[End_Date]]-Teacher_Data[[#This Row],[Start_Date]]</f>
        <v>28</v>
      </c>
      <c r="Y379" t="str">
        <f>_xlfn.IFS(Teacher_Data[[#This Row],[Experience_Years]]&lt;=5,"0-5 Years",Teacher_Data[[#This Row],[Experience_Years]]&lt;=10,"5-10 Years",Teacher_Data[[#This Row],[Experience_Years]]&lt;=20,"11-20 Years",TRUE,"20+ Years")</f>
        <v>5-10 Years</v>
      </c>
    </row>
    <row r="380" spans="1:25" x14ac:dyDescent="0.3">
      <c r="A380" t="s">
        <v>853</v>
      </c>
      <c r="B380" t="s">
        <v>179</v>
      </c>
      <c r="C380" t="s">
        <v>22</v>
      </c>
      <c r="D380">
        <v>36</v>
      </c>
      <c r="E380" t="s">
        <v>36</v>
      </c>
      <c r="F380" t="s">
        <v>83</v>
      </c>
      <c r="G380" t="s">
        <v>58</v>
      </c>
      <c r="H380" t="s">
        <v>59</v>
      </c>
      <c r="I380" t="s">
        <v>27</v>
      </c>
      <c r="J380" s="1">
        <v>45454</v>
      </c>
      <c r="K380" s="1">
        <v>45466</v>
      </c>
      <c r="L380" t="s">
        <v>60</v>
      </c>
      <c r="M380" s="2">
        <v>20</v>
      </c>
      <c r="O380" t="s">
        <v>29</v>
      </c>
      <c r="P380">
        <v>47</v>
      </c>
      <c r="Q380" t="s">
        <v>68</v>
      </c>
      <c r="R380" t="s">
        <v>31</v>
      </c>
      <c r="S380" t="s">
        <v>854</v>
      </c>
      <c r="T380">
        <v>28</v>
      </c>
      <c r="U380" t="str">
        <f>IF(Teacher_Data[[#This Row],[Completion_Status]]="Completed","Yes","No")</f>
        <v>No</v>
      </c>
      <c r="V380">
        <f>IF(Teacher_Data[[#This Row],[Completion_Status]]="Completed",1,0)</f>
        <v>0</v>
      </c>
      <c r="W380">
        <f>1</f>
        <v>1</v>
      </c>
      <c r="X380">
        <f>Teacher_Data[[#This Row],[End_Date]]-Teacher_Data[[#This Row],[Start_Date]]</f>
        <v>12</v>
      </c>
      <c r="Y380" t="str">
        <f>_xlfn.IFS(Teacher_Data[[#This Row],[Experience_Years]]&lt;=5,"0-5 Years",Teacher_Data[[#This Row],[Experience_Years]]&lt;=10,"5-10 Years",Teacher_Data[[#This Row],[Experience_Years]]&lt;=20,"11-20 Years",TRUE,"20+ Years")</f>
        <v>20+ Years</v>
      </c>
    </row>
    <row r="381" spans="1:25" x14ac:dyDescent="0.3">
      <c r="A381" t="s">
        <v>855</v>
      </c>
      <c r="B381" t="s">
        <v>124</v>
      </c>
      <c r="C381" t="s">
        <v>35</v>
      </c>
      <c r="D381">
        <v>29</v>
      </c>
      <c r="E381" t="s">
        <v>66</v>
      </c>
      <c r="F381" t="s">
        <v>100</v>
      </c>
      <c r="G381" t="s">
        <v>45</v>
      </c>
      <c r="H381" t="s">
        <v>59</v>
      </c>
      <c r="I381" t="s">
        <v>51</v>
      </c>
      <c r="J381" s="1">
        <v>45372</v>
      </c>
      <c r="K381" s="1">
        <v>45422</v>
      </c>
      <c r="L381" t="s">
        <v>28</v>
      </c>
      <c r="M381" s="2">
        <v>61</v>
      </c>
      <c r="O381" t="s">
        <v>29</v>
      </c>
      <c r="P381">
        <v>51</v>
      </c>
      <c r="Q381" t="s">
        <v>68</v>
      </c>
      <c r="R381" t="s">
        <v>31</v>
      </c>
      <c r="S381" t="s">
        <v>856</v>
      </c>
      <c r="T381">
        <v>17</v>
      </c>
      <c r="U381" t="str">
        <f>IF(Teacher_Data[[#This Row],[Completion_Status]]="Completed","Yes","No")</f>
        <v>No</v>
      </c>
      <c r="V381">
        <f>IF(Teacher_Data[[#This Row],[Completion_Status]]="Completed",1,0)</f>
        <v>0</v>
      </c>
      <c r="W381">
        <f>1</f>
        <v>1</v>
      </c>
      <c r="X381">
        <f>Teacher_Data[[#This Row],[End_Date]]-Teacher_Data[[#This Row],[Start_Date]]</f>
        <v>50</v>
      </c>
      <c r="Y381" t="str">
        <f>_xlfn.IFS(Teacher_Data[[#This Row],[Experience_Years]]&lt;=5,"0-5 Years",Teacher_Data[[#This Row],[Experience_Years]]&lt;=10,"5-10 Years",Teacher_Data[[#This Row],[Experience_Years]]&lt;=20,"11-20 Years",TRUE,"20+ Years")</f>
        <v>11-20 Years</v>
      </c>
    </row>
    <row r="382" spans="1:25" x14ac:dyDescent="0.3">
      <c r="A382" t="s">
        <v>857</v>
      </c>
      <c r="B382" t="s">
        <v>56</v>
      </c>
      <c r="C382" t="s">
        <v>35</v>
      </c>
      <c r="D382">
        <v>44</v>
      </c>
      <c r="E382" t="s">
        <v>66</v>
      </c>
      <c r="F382" t="s">
        <v>83</v>
      </c>
      <c r="G382" t="s">
        <v>38</v>
      </c>
      <c r="H382" t="s">
        <v>39</v>
      </c>
      <c r="I382" t="s">
        <v>46</v>
      </c>
      <c r="J382" s="1">
        <v>45501</v>
      </c>
      <c r="K382" s="1">
        <v>45532</v>
      </c>
      <c r="L382" t="s">
        <v>28</v>
      </c>
      <c r="M382" s="2">
        <v>51</v>
      </c>
      <c r="O382" t="s">
        <v>29</v>
      </c>
      <c r="P382">
        <v>46</v>
      </c>
      <c r="Q382" t="s">
        <v>68</v>
      </c>
      <c r="R382" t="s">
        <v>62</v>
      </c>
      <c r="S382" t="s">
        <v>858</v>
      </c>
      <c r="T382">
        <v>29</v>
      </c>
      <c r="U382" t="str">
        <f>IF(Teacher_Data[[#This Row],[Completion_Status]]="Completed","Yes","No")</f>
        <v>No</v>
      </c>
      <c r="V382">
        <f>IF(Teacher_Data[[#This Row],[Completion_Status]]="Completed",1,0)</f>
        <v>0</v>
      </c>
      <c r="W382">
        <f>1</f>
        <v>1</v>
      </c>
      <c r="X382">
        <f>Teacher_Data[[#This Row],[End_Date]]-Teacher_Data[[#This Row],[Start_Date]]</f>
        <v>31</v>
      </c>
      <c r="Y382" t="str">
        <f>_xlfn.IFS(Teacher_Data[[#This Row],[Experience_Years]]&lt;=5,"0-5 Years",Teacher_Data[[#This Row],[Experience_Years]]&lt;=10,"5-10 Years",Teacher_Data[[#This Row],[Experience_Years]]&lt;=20,"11-20 Years",TRUE,"20+ Years")</f>
        <v>20+ Years</v>
      </c>
    </row>
    <row r="383" spans="1:25" x14ac:dyDescent="0.3">
      <c r="A383" t="s">
        <v>859</v>
      </c>
      <c r="B383" t="s">
        <v>194</v>
      </c>
      <c r="C383" t="s">
        <v>22</v>
      </c>
      <c r="D383">
        <v>41</v>
      </c>
      <c r="E383" t="s">
        <v>36</v>
      </c>
      <c r="F383" t="s">
        <v>100</v>
      </c>
      <c r="G383" t="s">
        <v>58</v>
      </c>
      <c r="H383" t="s">
        <v>26</v>
      </c>
      <c r="I383" t="s">
        <v>27</v>
      </c>
      <c r="J383" s="1">
        <v>45514</v>
      </c>
      <c r="K383" s="1">
        <v>45520</v>
      </c>
      <c r="L383" t="s">
        <v>52</v>
      </c>
      <c r="M383" s="2">
        <v>52</v>
      </c>
      <c r="N383">
        <v>57</v>
      </c>
      <c r="O383" t="s">
        <v>53</v>
      </c>
      <c r="P383">
        <v>24</v>
      </c>
      <c r="Q383" t="s">
        <v>61</v>
      </c>
      <c r="R383" t="s">
        <v>104</v>
      </c>
      <c r="S383" t="s">
        <v>860</v>
      </c>
      <c r="T383">
        <v>6</v>
      </c>
      <c r="U383" t="str">
        <f>IF(Teacher_Data[[#This Row],[Completion_Status]]="Completed","Yes","No")</f>
        <v>Yes</v>
      </c>
      <c r="V383">
        <f>IF(Teacher_Data[[#This Row],[Completion_Status]]="Completed",1,0)</f>
        <v>1</v>
      </c>
      <c r="W383">
        <f>1</f>
        <v>1</v>
      </c>
      <c r="X383">
        <f>Teacher_Data[[#This Row],[End_Date]]-Teacher_Data[[#This Row],[Start_Date]]</f>
        <v>6</v>
      </c>
      <c r="Y383" t="str">
        <f>_xlfn.IFS(Teacher_Data[[#This Row],[Experience_Years]]&lt;=5,"0-5 Years",Teacher_Data[[#This Row],[Experience_Years]]&lt;=10,"5-10 Years",Teacher_Data[[#This Row],[Experience_Years]]&lt;=20,"11-20 Years",TRUE,"20+ Years")</f>
        <v>5-10 Years</v>
      </c>
    </row>
    <row r="384" spans="1:25" x14ac:dyDescent="0.3">
      <c r="A384" t="s">
        <v>861</v>
      </c>
      <c r="B384" t="s">
        <v>185</v>
      </c>
      <c r="C384" t="s">
        <v>22</v>
      </c>
      <c r="D384">
        <v>33</v>
      </c>
      <c r="E384" t="s">
        <v>66</v>
      </c>
      <c r="F384" t="s">
        <v>100</v>
      </c>
      <c r="G384" t="s">
        <v>45</v>
      </c>
      <c r="H384" t="s">
        <v>39</v>
      </c>
      <c r="I384" t="s">
        <v>27</v>
      </c>
      <c r="J384" s="1">
        <v>45396</v>
      </c>
      <c r="K384" s="1">
        <v>45408</v>
      </c>
      <c r="L384" t="s">
        <v>52</v>
      </c>
      <c r="M384" s="2">
        <v>82</v>
      </c>
      <c r="N384">
        <v>96</v>
      </c>
      <c r="O384" t="s">
        <v>53</v>
      </c>
      <c r="P384">
        <v>37</v>
      </c>
      <c r="Q384" t="s">
        <v>40</v>
      </c>
      <c r="R384" t="s">
        <v>104</v>
      </c>
      <c r="S384" t="s">
        <v>862</v>
      </c>
      <c r="T384">
        <v>12</v>
      </c>
      <c r="U384" t="str">
        <f>IF(Teacher_Data[[#This Row],[Completion_Status]]="Completed","Yes","No")</f>
        <v>Yes</v>
      </c>
      <c r="V384">
        <f>IF(Teacher_Data[[#This Row],[Completion_Status]]="Completed",1,0)</f>
        <v>1</v>
      </c>
      <c r="W384">
        <f>1</f>
        <v>1</v>
      </c>
      <c r="X384">
        <f>Teacher_Data[[#This Row],[End_Date]]-Teacher_Data[[#This Row],[Start_Date]]</f>
        <v>12</v>
      </c>
      <c r="Y384" t="str">
        <f>_xlfn.IFS(Teacher_Data[[#This Row],[Experience_Years]]&lt;=5,"0-5 Years",Teacher_Data[[#This Row],[Experience_Years]]&lt;=10,"5-10 Years",Teacher_Data[[#This Row],[Experience_Years]]&lt;=20,"11-20 Years",TRUE,"20+ Years")</f>
        <v>11-20 Years</v>
      </c>
    </row>
    <row r="385" spans="1:25" x14ac:dyDescent="0.3">
      <c r="A385" t="s">
        <v>863</v>
      </c>
      <c r="B385" t="s">
        <v>179</v>
      </c>
      <c r="C385" t="s">
        <v>35</v>
      </c>
      <c r="D385">
        <v>30</v>
      </c>
      <c r="E385" t="s">
        <v>57</v>
      </c>
      <c r="F385" t="s">
        <v>37</v>
      </c>
      <c r="G385" t="s">
        <v>38</v>
      </c>
      <c r="H385" t="s">
        <v>50</v>
      </c>
      <c r="I385" t="s">
        <v>46</v>
      </c>
      <c r="J385" s="1">
        <v>45488</v>
      </c>
      <c r="K385" s="1">
        <v>45517</v>
      </c>
      <c r="L385" t="s">
        <v>60</v>
      </c>
      <c r="M385" s="2">
        <v>39</v>
      </c>
      <c r="O385" t="s">
        <v>29</v>
      </c>
      <c r="P385">
        <v>16</v>
      </c>
      <c r="Q385" t="s">
        <v>61</v>
      </c>
      <c r="R385" t="s">
        <v>62</v>
      </c>
      <c r="S385" t="s">
        <v>864</v>
      </c>
      <c r="T385">
        <v>19</v>
      </c>
      <c r="U385" t="str">
        <f>IF(Teacher_Data[[#This Row],[Completion_Status]]="Completed","Yes","No")</f>
        <v>No</v>
      </c>
      <c r="V385">
        <f>IF(Teacher_Data[[#This Row],[Completion_Status]]="Completed",1,0)</f>
        <v>0</v>
      </c>
      <c r="W385">
        <f>1</f>
        <v>1</v>
      </c>
      <c r="X385">
        <f>Teacher_Data[[#This Row],[End_Date]]-Teacher_Data[[#This Row],[Start_Date]]</f>
        <v>29</v>
      </c>
      <c r="Y385" t="str">
        <f>_xlfn.IFS(Teacher_Data[[#This Row],[Experience_Years]]&lt;=5,"0-5 Years",Teacher_Data[[#This Row],[Experience_Years]]&lt;=10,"5-10 Years",Teacher_Data[[#This Row],[Experience_Years]]&lt;=20,"11-20 Years",TRUE,"20+ Years")</f>
        <v>11-20 Years</v>
      </c>
    </row>
    <row r="386" spans="1:25" x14ac:dyDescent="0.3">
      <c r="A386" t="s">
        <v>865</v>
      </c>
      <c r="B386" t="s">
        <v>133</v>
      </c>
      <c r="C386" t="s">
        <v>22</v>
      </c>
      <c r="D386">
        <v>58</v>
      </c>
      <c r="E386" t="s">
        <v>36</v>
      </c>
      <c r="F386" t="s">
        <v>24</v>
      </c>
      <c r="G386" t="s">
        <v>25</v>
      </c>
      <c r="H386" t="s">
        <v>50</v>
      </c>
      <c r="I386" t="s">
        <v>46</v>
      </c>
      <c r="J386" s="1">
        <v>45504</v>
      </c>
      <c r="K386" s="1">
        <v>45520</v>
      </c>
      <c r="L386" t="s">
        <v>60</v>
      </c>
      <c r="M386" s="2">
        <v>1</v>
      </c>
      <c r="O386" t="s">
        <v>29</v>
      </c>
      <c r="P386">
        <v>33</v>
      </c>
      <c r="Q386" t="s">
        <v>30</v>
      </c>
      <c r="R386" t="s">
        <v>72</v>
      </c>
      <c r="S386" t="s">
        <v>866</v>
      </c>
      <c r="T386">
        <v>9</v>
      </c>
      <c r="U386" t="str">
        <f>IF(Teacher_Data[[#This Row],[Completion_Status]]="Completed","Yes","No")</f>
        <v>No</v>
      </c>
      <c r="V386">
        <f>IF(Teacher_Data[[#This Row],[Completion_Status]]="Completed",1,0)</f>
        <v>0</v>
      </c>
      <c r="W386">
        <f>1</f>
        <v>1</v>
      </c>
      <c r="X386">
        <f>Teacher_Data[[#This Row],[End_Date]]-Teacher_Data[[#This Row],[Start_Date]]</f>
        <v>16</v>
      </c>
      <c r="Y386" t="str">
        <f>_xlfn.IFS(Teacher_Data[[#This Row],[Experience_Years]]&lt;=5,"0-5 Years",Teacher_Data[[#This Row],[Experience_Years]]&lt;=10,"5-10 Years",Teacher_Data[[#This Row],[Experience_Years]]&lt;=20,"11-20 Years",TRUE,"20+ Years")</f>
        <v>5-10 Years</v>
      </c>
    </row>
    <row r="387" spans="1:25" x14ac:dyDescent="0.3">
      <c r="A387" t="s">
        <v>867</v>
      </c>
      <c r="B387" t="s">
        <v>103</v>
      </c>
      <c r="C387" t="s">
        <v>35</v>
      </c>
      <c r="D387">
        <v>59</v>
      </c>
      <c r="E387" t="s">
        <v>23</v>
      </c>
      <c r="F387" t="s">
        <v>37</v>
      </c>
      <c r="G387" t="s">
        <v>76</v>
      </c>
      <c r="H387" t="s">
        <v>50</v>
      </c>
      <c r="I387" t="s">
        <v>46</v>
      </c>
      <c r="J387" s="1">
        <v>45463</v>
      </c>
      <c r="K387" s="1">
        <v>45519</v>
      </c>
      <c r="L387" t="s">
        <v>28</v>
      </c>
      <c r="M387" s="2">
        <v>71</v>
      </c>
      <c r="O387" t="s">
        <v>29</v>
      </c>
      <c r="P387">
        <v>7</v>
      </c>
      <c r="Q387" t="s">
        <v>30</v>
      </c>
      <c r="R387" t="s">
        <v>62</v>
      </c>
      <c r="S387" t="s">
        <v>868</v>
      </c>
      <c r="T387">
        <v>21</v>
      </c>
      <c r="U387" t="str">
        <f>IF(Teacher_Data[[#This Row],[Completion_Status]]="Completed","Yes","No")</f>
        <v>No</v>
      </c>
      <c r="V387">
        <f>IF(Teacher_Data[[#This Row],[Completion_Status]]="Completed",1,0)</f>
        <v>0</v>
      </c>
      <c r="W387">
        <f>1</f>
        <v>1</v>
      </c>
      <c r="X387">
        <f>Teacher_Data[[#This Row],[End_Date]]-Teacher_Data[[#This Row],[Start_Date]]</f>
        <v>56</v>
      </c>
      <c r="Y387" t="str">
        <f>_xlfn.IFS(Teacher_Data[[#This Row],[Experience_Years]]&lt;=5,"0-5 Years",Teacher_Data[[#This Row],[Experience_Years]]&lt;=10,"5-10 Years",Teacher_Data[[#This Row],[Experience_Years]]&lt;=20,"11-20 Years",TRUE,"20+ Years")</f>
        <v>20+ Years</v>
      </c>
    </row>
    <row r="388" spans="1:25" x14ac:dyDescent="0.3">
      <c r="A388" t="s">
        <v>869</v>
      </c>
      <c r="B388" t="s">
        <v>176</v>
      </c>
      <c r="C388" t="s">
        <v>35</v>
      </c>
      <c r="D388">
        <v>60</v>
      </c>
      <c r="E388" t="s">
        <v>57</v>
      </c>
      <c r="F388" t="s">
        <v>37</v>
      </c>
      <c r="G388" t="s">
        <v>25</v>
      </c>
      <c r="H388" t="s">
        <v>39</v>
      </c>
      <c r="I388" t="s">
        <v>27</v>
      </c>
      <c r="J388" s="1">
        <v>45469</v>
      </c>
      <c r="K388" s="1">
        <v>45486</v>
      </c>
      <c r="L388" t="s">
        <v>52</v>
      </c>
      <c r="M388" s="2">
        <v>82</v>
      </c>
      <c r="N388">
        <v>84</v>
      </c>
      <c r="O388" t="s">
        <v>53</v>
      </c>
      <c r="P388">
        <v>46</v>
      </c>
      <c r="Q388" t="s">
        <v>61</v>
      </c>
      <c r="R388" t="s">
        <v>31</v>
      </c>
      <c r="S388" t="s">
        <v>870</v>
      </c>
      <c r="T388">
        <v>19</v>
      </c>
      <c r="U388" t="str">
        <f>IF(Teacher_Data[[#This Row],[Completion_Status]]="Completed","Yes","No")</f>
        <v>Yes</v>
      </c>
      <c r="V388">
        <f>IF(Teacher_Data[[#This Row],[Completion_Status]]="Completed",1,0)</f>
        <v>1</v>
      </c>
      <c r="W388">
        <f>1</f>
        <v>1</v>
      </c>
      <c r="X388">
        <f>Teacher_Data[[#This Row],[End_Date]]-Teacher_Data[[#This Row],[Start_Date]]</f>
        <v>17</v>
      </c>
      <c r="Y388" t="str">
        <f>_xlfn.IFS(Teacher_Data[[#This Row],[Experience_Years]]&lt;=5,"0-5 Years",Teacher_Data[[#This Row],[Experience_Years]]&lt;=10,"5-10 Years",Teacher_Data[[#This Row],[Experience_Years]]&lt;=20,"11-20 Years",TRUE,"20+ Years")</f>
        <v>11-20 Years</v>
      </c>
    </row>
    <row r="389" spans="1:25" x14ac:dyDescent="0.3">
      <c r="A389" t="s">
        <v>871</v>
      </c>
      <c r="B389" t="s">
        <v>185</v>
      </c>
      <c r="C389" t="s">
        <v>35</v>
      </c>
      <c r="D389">
        <v>30</v>
      </c>
      <c r="E389" t="s">
        <v>57</v>
      </c>
      <c r="F389" t="s">
        <v>100</v>
      </c>
      <c r="G389" t="s">
        <v>58</v>
      </c>
      <c r="H389" t="s">
        <v>50</v>
      </c>
      <c r="I389" t="s">
        <v>46</v>
      </c>
      <c r="J389" s="1">
        <v>45581</v>
      </c>
      <c r="K389" s="1">
        <v>45632</v>
      </c>
      <c r="L389" t="s">
        <v>60</v>
      </c>
      <c r="M389" s="2">
        <v>0</v>
      </c>
      <c r="O389" t="s">
        <v>29</v>
      </c>
      <c r="P389">
        <v>24</v>
      </c>
      <c r="Q389" t="s">
        <v>40</v>
      </c>
      <c r="R389" t="s">
        <v>41</v>
      </c>
      <c r="S389" t="s">
        <v>872</v>
      </c>
      <c r="T389">
        <v>20</v>
      </c>
      <c r="U389" t="str">
        <f>IF(Teacher_Data[[#This Row],[Completion_Status]]="Completed","Yes","No")</f>
        <v>No</v>
      </c>
      <c r="V389">
        <f>IF(Teacher_Data[[#This Row],[Completion_Status]]="Completed",1,0)</f>
        <v>0</v>
      </c>
      <c r="W389">
        <f>1</f>
        <v>1</v>
      </c>
      <c r="X389">
        <f>Teacher_Data[[#This Row],[End_Date]]-Teacher_Data[[#This Row],[Start_Date]]</f>
        <v>51</v>
      </c>
      <c r="Y389" t="str">
        <f>_xlfn.IFS(Teacher_Data[[#This Row],[Experience_Years]]&lt;=5,"0-5 Years",Teacher_Data[[#This Row],[Experience_Years]]&lt;=10,"5-10 Years",Teacher_Data[[#This Row],[Experience_Years]]&lt;=20,"11-20 Years",TRUE,"20+ Years")</f>
        <v>11-20 Years</v>
      </c>
    </row>
    <row r="390" spans="1:25" x14ac:dyDescent="0.3">
      <c r="A390" t="s">
        <v>873</v>
      </c>
      <c r="B390" t="s">
        <v>118</v>
      </c>
      <c r="C390" t="s">
        <v>22</v>
      </c>
      <c r="D390">
        <v>60</v>
      </c>
      <c r="E390" t="s">
        <v>36</v>
      </c>
      <c r="F390" t="s">
        <v>37</v>
      </c>
      <c r="G390" t="s">
        <v>58</v>
      </c>
      <c r="H390" t="s">
        <v>26</v>
      </c>
      <c r="I390" t="s">
        <v>27</v>
      </c>
      <c r="J390" s="1">
        <v>45458</v>
      </c>
      <c r="K390" s="1">
        <v>45487</v>
      </c>
      <c r="L390" t="s">
        <v>52</v>
      </c>
      <c r="M390" s="2">
        <v>59</v>
      </c>
      <c r="N390">
        <v>71</v>
      </c>
      <c r="O390" t="s">
        <v>53</v>
      </c>
      <c r="P390">
        <v>43</v>
      </c>
      <c r="Q390" t="s">
        <v>40</v>
      </c>
      <c r="R390" t="s">
        <v>62</v>
      </c>
      <c r="S390" t="s">
        <v>874</v>
      </c>
      <c r="T390">
        <v>19</v>
      </c>
      <c r="U390" t="str">
        <f>IF(Teacher_Data[[#This Row],[Completion_Status]]="Completed","Yes","No")</f>
        <v>Yes</v>
      </c>
      <c r="V390">
        <f>IF(Teacher_Data[[#This Row],[Completion_Status]]="Completed",1,0)</f>
        <v>1</v>
      </c>
      <c r="W390">
        <f>1</f>
        <v>1</v>
      </c>
      <c r="X390">
        <f>Teacher_Data[[#This Row],[End_Date]]-Teacher_Data[[#This Row],[Start_Date]]</f>
        <v>29</v>
      </c>
      <c r="Y390" t="str">
        <f>_xlfn.IFS(Teacher_Data[[#This Row],[Experience_Years]]&lt;=5,"0-5 Years",Teacher_Data[[#This Row],[Experience_Years]]&lt;=10,"5-10 Years",Teacher_Data[[#This Row],[Experience_Years]]&lt;=20,"11-20 Years",TRUE,"20+ Years")</f>
        <v>11-20 Years</v>
      </c>
    </row>
    <row r="391" spans="1:25" x14ac:dyDescent="0.3">
      <c r="A391" t="s">
        <v>875</v>
      </c>
      <c r="B391" t="s">
        <v>308</v>
      </c>
      <c r="C391" t="s">
        <v>22</v>
      </c>
      <c r="D391">
        <v>53</v>
      </c>
      <c r="E391" t="s">
        <v>66</v>
      </c>
      <c r="F391" t="s">
        <v>67</v>
      </c>
      <c r="G391" t="s">
        <v>58</v>
      </c>
      <c r="H391" t="s">
        <v>26</v>
      </c>
      <c r="I391" t="s">
        <v>51</v>
      </c>
      <c r="J391" s="1">
        <v>45535</v>
      </c>
      <c r="K391" s="1">
        <v>45579</v>
      </c>
      <c r="L391" t="s">
        <v>52</v>
      </c>
      <c r="M391" s="2">
        <v>56</v>
      </c>
      <c r="N391">
        <v>69</v>
      </c>
      <c r="O391" t="s">
        <v>53</v>
      </c>
      <c r="P391">
        <v>19</v>
      </c>
      <c r="Q391" t="s">
        <v>30</v>
      </c>
      <c r="R391" t="s">
        <v>72</v>
      </c>
      <c r="S391" t="s">
        <v>876</v>
      </c>
      <c r="T391">
        <v>15</v>
      </c>
      <c r="U391" t="str">
        <f>IF(Teacher_Data[[#This Row],[Completion_Status]]="Completed","Yes","No")</f>
        <v>Yes</v>
      </c>
      <c r="V391">
        <f>IF(Teacher_Data[[#This Row],[Completion_Status]]="Completed",1,0)</f>
        <v>1</v>
      </c>
      <c r="W391">
        <f>1</f>
        <v>1</v>
      </c>
      <c r="X391">
        <f>Teacher_Data[[#This Row],[End_Date]]-Teacher_Data[[#This Row],[Start_Date]]</f>
        <v>44</v>
      </c>
      <c r="Y391" t="str">
        <f>_xlfn.IFS(Teacher_Data[[#This Row],[Experience_Years]]&lt;=5,"0-5 Years",Teacher_Data[[#This Row],[Experience_Years]]&lt;=10,"5-10 Years",Teacher_Data[[#This Row],[Experience_Years]]&lt;=20,"11-20 Years",TRUE,"20+ Years")</f>
        <v>11-20 Years</v>
      </c>
    </row>
    <row r="392" spans="1:25" x14ac:dyDescent="0.3">
      <c r="A392" t="s">
        <v>877</v>
      </c>
      <c r="B392" t="s">
        <v>182</v>
      </c>
      <c r="C392" t="s">
        <v>35</v>
      </c>
      <c r="D392">
        <v>23</v>
      </c>
      <c r="E392" t="s">
        <v>57</v>
      </c>
      <c r="F392" t="s">
        <v>24</v>
      </c>
      <c r="G392" t="s">
        <v>76</v>
      </c>
      <c r="H392" t="s">
        <v>26</v>
      </c>
      <c r="I392" t="s">
        <v>46</v>
      </c>
      <c r="J392" s="1">
        <v>45494</v>
      </c>
      <c r="K392" s="1">
        <v>45553</v>
      </c>
      <c r="L392" t="s">
        <v>52</v>
      </c>
      <c r="M392" s="2">
        <v>96</v>
      </c>
      <c r="N392">
        <v>75</v>
      </c>
      <c r="O392" t="s">
        <v>53</v>
      </c>
      <c r="P392">
        <v>23</v>
      </c>
      <c r="Q392" t="s">
        <v>40</v>
      </c>
      <c r="R392" t="s">
        <v>104</v>
      </c>
      <c r="S392" t="s">
        <v>878</v>
      </c>
      <c r="T392">
        <v>3</v>
      </c>
      <c r="U392" t="str">
        <f>IF(Teacher_Data[[#This Row],[Completion_Status]]="Completed","Yes","No")</f>
        <v>Yes</v>
      </c>
      <c r="V392">
        <f>IF(Teacher_Data[[#This Row],[Completion_Status]]="Completed",1,0)</f>
        <v>1</v>
      </c>
      <c r="W392">
        <f>1</f>
        <v>1</v>
      </c>
      <c r="X392">
        <f>Teacher_Data[[#This Row],[End_Date]]-Teacher_Data[[#This Row],[Start_Date]]</f>
        <v>59</v>
      </c>
      <c r="Y392" t="str">
        <f>_xlfn.IFS(Teacher_Data[[#This Row],[Experience_Years]]&lt;=5,"0-5 Years",Teacher_Data[[#This Row],[Experience_Years]]&lt;=10,"5-10 Years",Teacher_Data[[#This Row],[Experience_Years]]&lt;=20,"11-20 Years",TRUE,"20+ Years")</f>
        <v>0-5 Years</v>
      </c>
    </row>
    <row r="393" spans="1:25" x14ac:dyDescent="0.3">
      <c r="A393" t="s">
        <v>879</v>
      </c>
      <c r="B393" t="s">
        <v>140</v>
      </c>
      <c r="C393" t="s">
        <v>22</v>
      </c>
      <c r="D393">
        <v>46</v>
      </c>
      <c r="E393" t="s">
        <v>66</v>
      </c>
      <c r="F393" t="s">
        <v>24</v>
      </c>
      <c r="G393" t="s">
        <v>25</v>
      </c>
      <c r="H393" t="s">
        <v>50</v>
      </c>
      <c r="I393" t="s">
        <v>27</v>
      </c>
      <c r="J393" s="1">
        <v>45551</v>
      </c>
      <c r="K393" s="1">
        <v>45610</v>
      </c>
      <c r="L393" t="s">
        <v>28</v>
      </c>
      <c r="M393" s="2">
        <v>83</v>
      </c>
      <c r="O393" t="s">
        <v>29</v>
      </c>
      <c r="P393">
        <v>55</v>
      </c>
      <c r="Q393" t="s">
        <v>30</v>
      </c>
      <c r="R393" t="s">
        <v>31</v>
      </c>
      <c r="S393" t="s">
        <v>880</v>
      </c>
      <c r="T393">
        <v>23</v>
      </c>
      <c r="U393" t="str">
        <f>IF(Teacher_Data[[#This Row],[Completion_Status]]="Completed","Yes","No")</f>
        <v>No</v>
      </c>
      <c r="V393">
        <f>IF(Teacher_Data[[#This Row],[Completion_Status]]="Completed",1,0)</f>
        <v>0</v>
      </c>
      <c r="W393">
        <f>1</f>
        <v>1</v>
      </c>
      <c r="X393">
        <f>Teacher_Data[[#This Row],[End_Date]]-Teacher_Data[[#This Row],[Start_Date]]</f>
        <v>59</v>
      </c>
      <c r="Y393" t="str">
        <f>_xlfn.IFS(Teacher_Data[[#This Row],[Experience_Years]]&lt;=5,"0-5 Years",Teacher_Data[[#This Row],[Experience_Years]]&lt;=10,"5-10 Years",Teacher_Data[[#This Row],[Experience_Years]]&lt;=20,"11-20 Years",TRUE,"20+ Years")</f>
        <v>20+ Years</v>
      </c>
    </row>
    <row r="394" spans="1:25" x14ac:dyDescent="0.3">
      <c r="A394" t="s">
        <v>881</v>
      </c>
      <c r="B394" t="s">
        <v>49</v>
      </c>
      <c r="C394" t="s">
        <v>35</v>
      </c>
      <c r="D394">
        <v>23</v>
      </c>
      <c r="E394" t="s">
        <v>36</v>
      </c>
      <c r="F394" t="s">
        <v>100</v>
      </c>
      <c r="G394" t="s">
        <v>76</v>
      </c>
      <c r="H394" t="s">
        <v>59</v>
      </c>
      <c r="I394" t="s">
        <v>51</v>
      </c>
      <c r="J394" s="1">
        <v>45452</v>
      </c>
      <c r="K394" s="1">
        <v>45469</v>
      </c>
      <c r="L394" t="s">
        <v>60</v>
      </c>
      <c r="M394" s="2">
        <v>28</v>
      </c>
      <c r="O394" t="s">
        <v>29</v>
      </c>
      <c r="P394">
        <v>29</v>
      </c>
      <c r="Q394" t="s">
        <v>61</v>
      </c>
      <c r="R394" t="s">
        <v>72</v>
      </c>
      <c r="S394" t="s">
        <v>882</v>
      </c>
      <c r="T394">
        <v>5</v>
      </c>
      <c r="U394" t="str">
        <f>IF(Teacher_Data[[#This Row],[Completion_Status]]="Completed","Yes","No")</f>
        <v>No</v>
      </c>
      <c r="V394">
        <f>IF(Teacher_Data[[#This Row],[Completion_Status]]="Completed",1,0)</f>
        <v>0</v>
      </c>
      <c r="W394">
        <f>1</f>
        <v>1</v>
      </c>
      <c r="X394">
        <f>Teacher_Data[[#This Row],[End_Date]]-Teacher_Data[[#This Row],[Start_Date]]</f>
        <v>17</v>
      </c>
      <c r="Y394" t="str">
        <f>_xlfn.IFS(Teacher_Data[[#This Row],[Experience_Years]]&lt;=5,"0-5 Years",Teacher_Data[[#This Row],[Experience_Years]]&lt;=10,"5-10 Years",Teacher_Data[[#This Row],[Experience_Years]]&lt;=20,"11-20 Years",TRUE,"20+ Years")</f>
        <v>0-5 Years</v>
      </c>
    </row>
    <row r="395" spans="1:25" x14ac:dyDescent="0.3">
      <c r="A395" t="s">
        <v>883</v>
      </c>
      <c r="B395" t="s">
        <v>197</v>
      </c>
      <c r="C395" t="s">
        <v>22</v>
      </c>
      <c r="D395">
        <v>36</v>
      </c>
      <c r="E395" t="s">
        <v>57</v>
      </c>
      <c r="F395" t="s">
        <v>24</v>
      </c>
      <c r="G395" t="s">
        <v>45</v>
      </c>
      <c r="H395" t="s">
        <v>26</v>
      </c>
      <c r="I395" t="s">
        <v>46</v>
      </c>
      <c r="J395" s="1">
        <v>45511</v>
      </c>
      <c r="K395" s="1">
        <v>45543</v>
      </c>
      <c r="L395" t="s">
        <v>52</v>
      </c>
      <c r="M395" s="2">
        <v>96</v>
      </c>
      <c r="N395">
        <v>93</v>
      </c>
      <c r="O395" t="s">
        <v>53</v>
      </c>
      <c r="P395">
        <v>49</v>
      </c>
      <c r="Q395" t="s">
        <v>30</v>
      </c>
      <c r="R395" t="s">
        <v>31</v>
      </c>
      <c r="S395" t="s">
        <v>884</v>
      </c>
      <c r="T395">
        <v>4</v>
      </c>
      <c r="U395" t="str">
        <f>IF(Teacher_Data[[#This Row],[Completion_Status]]="Completed","Yes","No")</f>
        <v>Yes</v>
      </c>
      <c r="V395">
        <f>IF(Teacher_Data[[#This Row],[Completion_Status]]="Completed",1,0)</f>
        <v>1</v>
      </c>
      <c r="W395">
        <f>1</f>
        <v>1</v>
      </c>
      <c r="X395">
        <f>Teacher_Data[[#This Row],[End_Date]]-Teacher_Data[[#This Row],[Start_Date]]</f>
        <v>32</v>
      </c>
      <c r="Y395" t="str">
        <f>_xlfn.IFS(Teacher_Data[[#This Row],[Experience_Years]]&lt;=5,"0-5 Years",Teacher_Data[[#This Row],[Experience_Years]]&lt;=10,"5-10 Years",Teacher_Data[[#This Row],[Experience_Years]]&lt;=20,"11-20 Years",TRUE,"20+ Years")</f>
        <v>0-5 Years</v>
      </c>
    </row>
    <row r="396" spans="1:25" x14ac:dyDescent="0.3">
      <c r="A396" t="s">
        <v>885</v>
      </c>
      <c r="B396" t="s">
        <v>79</v>
      </c>
      <c r="C396" t="s">
        <v>22</v>
      </c>
      <c r="D396">
        <v>43</v>
      </c>
      <c r="E396" t="s">
        <v>36</v>
      </c>
      <c r="F396" t="s">
        <v>67</v>
      </c>
      <c r="G396" t="s">
        <v>25</v>
      </c>
      <c r="H396" t="s">
        <v>59</v>
      </c>
      <c r="I396" t="s">
        <v>51</v>
      </c>
      <c r="J396" s="1">
        <v>45539</v>
      </c>
      <c r="K396" s="1">
        <v>45593</v>
      </c>
      <c r="L396" t="s">
        <v>28</v>
      </c>
      <c r="M396" s="2">
        <v>54</v>
      </c>
      <c r="O396" t="s">
        <v>29</v>
      </c>
      <c r="P396">
        <v>34</v>
      </c>
      <c r="Q396" t="s">
        <v>40</v>
      </c>
      <c r="R396" t="s">
        <v>104</v>
      </c>
      <c r="S396" t="s">
        <v>886</v>
      </c>
      <c r="T396">
        <v>28</v>
      </c>
      <c r="U396" t="str">
        <f>IF(Teacher_Data[[#This Row],[Completion_Status]]="Completed","Yes","No")</f>
        <v>No</v>
      </c>
      <c r="V396">
        <f>IF(Teacher_Data[[#This Row],[Completion_Status]]="Completed",1,0)</f>
        <v>0</v>
      </c>
      <c r="W396">
        <f>1</f>
        <v>1</v>
      </c>
      <c r="X396">
        <f>Teacher_Data[[#This Row],[End_Date]]-Teacher_Data[[#This Row],[Start_Date]]</f>
        <v>54</v>
      </c>
      <c r="Y396" t="str">
        <f>_xlfn.IFS(Teacher_Data[[#This Row],[Experience_Years]]&lt;=5,"0-5 Years",Teacher_Data[[#This Row],[Experience_Years]]&lt;=10,"5-10 Years",Teacher_Data[[#This Row],[Experience_Years]]&lt;=20,"11-20 Years",TRUE,"20+ Years")</f>
        <v>20+ Years</v>
      </c>
    </row>
    <row r="397" spans="1:25" x14ac:dyDescent="0.3">
      <c r="A397" t="s">
        <v>887</v>
      </c>
      <c r="B397" t="s">
        <v>99</v>
      </c>
      <c r="C397" t="s">
        <v>22</v>
      </c>
      <c r="D397">
        <v>58</v>
      </c>
      <c r="E397" t="s">
        <v>36</v>
      </c>
      <c r="F397" t="s">
        <v>67</v>
      </c>
      <c r="G397" t="s">
        <v>45</v>
      </c>
      <c r="H397" t="s">
        <v>59</v>
      </c>
      <c r="I397" t="s">
        <v>46</v>
      </c>
      <c r="J397" s="1">
        <v>45358</v>
      </c>
      <c r="K397" s="1">
        <v>45390</v>
      </c>
      <c r="L397" t="s">
        <v>28</v>
      </c>
      <c r="M397" s="2">
        <v>61</v>
      </c>
      <c r="O397" t="s">
        <v>29</v>
      </c>
      <c r="P397">
        <v>47</v>
      </c>
      <c r="Q397" t="s">
        <v>40</v>
      </c>
      <c r="R397" t="s">
        <v>41</v>
      </c>
      <c r="S397" t="s">
        <v>888</v>
      </c>
      <c r="T397">
        <v>32</v>
      </c>
      <c r="U397" t="str">
        <f>IF(Teacher_Data[[#This Row],[Completion_Status]]="Completed","Yes","No")</f>
        <v>No</v>
      </c>
      <c r="V397">
        <f>IF(Teacher_Data[[#This Row],[Completion_Status]]="Completed",1,0)</f>
        <v>0</v>
      </c>
      <c r="W397">
        <f>1</f>
        <v>1</v>
      </c>
      <c r="X397">
        <f>Teacher_Data[[#This Row],[End_Date]]-Teacher_Data[[#This Row],[Start_Date]]</f>
        <v>32</v>
      </c>
      <c r="Y397" t="str">
        <f>_xlfn.IFS(Teacher_Data[[#This Row],[Experience_Years]]&lt;=5,"0-5 Years",Teacher_Data[[#This Row],[Experience_Years]]&lt;=10,"5-10 Years",Teacher_Data[[#This Row],[Experience_Years]]&lt;=20,"11-20 Years",TRUE,"20+ Years")</f>
        <v>20+ Years</v>
      </c>
    </row>
    <row r="398" spans="1:25" x14ac:dyDescent="0.3">
      <c r="A398" t="s">
        <v>889</v>
      </c>
      <c r="B398" t="s">
        <v>214</v>
      </c>
      <c r="C398" t="s">
        <v>22</v>
      </c>
      <c r="D398">
        <v>30</v>
      </c>
      <c r="E398" t="s">
        <v>66</v>
      </c>
      <c r="F398" t="s">
        <v>100</v>
      </c>
      <c r="G398" t="s">
        <v>45</v>
      </c>
      <c r="H398" t="s">
        <v>59</v>
      </c>
      <c r="I398" t="s">
        <v>51</v>
      </c>
      <c r="J398" s="1">
        <v>45421</v>
      </c>
      <c r="K398" s="1">
        <v>45446</v>
      </c>
      <c r="L398" t="s">
        <v>52</v>
      </c>
      <c r="M398" s="2">
        <v>89</v>
      </c>
      <c r="N398">
        <v>100</v>
      </c>
      <c r="O398" t="s">
        <v>53</v>
      </c>
      <c r="P398">
        <v>16</v>
      </c>
      <c r="Q398" t="s">
        <v>30</v>
      </c>
      <c r="R398" t="s">
        <v>31</v>
      </c>
      <c r="S398" t="s">
        <v>890</v>
      </c>
      <c r="T398">
        <v>24</v>
      </c>
      <c r="U398" t="str">
        <f>IF(Teacher_Data[[#This Row],[Completion_Status]]="Completed","Yes","No")</f>
        <v>Yes</v>
      </c>
      <c r="V398">
        <f>IF(Teacher_Data[[#This Row],[Completion_Status]]="Completed",1,0)</f>
        <v>1</v>
      </c>
      <c r="W398">
        <f>1</f>
        <v>1</v>
      </c>
      <c r="X398">
        <f>Teacher_Data[[#This Row],[End_Date]]-Teacher_Data[[#This Row],[Start_Date]]</f>
        <v>25</v>
      </c>
      <c r="Y398" t="str">
        <f>_xlfn.IFS(Teacher_Data[[#This Row],[Experience_Years]]&lt;=5,"0-5 Years",Teacher_Data[[#This Row],[Experience_Years]]&lt;=10,"5-10 Years",Teacher_Data[[#This Row],[Experience_Years]]&lt;=20,"11-20 Years",TRUE,"20+ Years")</f>
        <v>20+ Years</v>
      </c>
    </row>
    <row r="399" spans="1:25" x14ac:dyDescent="0.3">
      <c r="A399" t="s">
        <v>891</v>
      </c>
      <c r="B399" t="s">
        <v>89</v>
      </c>
      <c r="C399" t="s">
        <v>35</v>
      </c>
      <c r="D399">
        <v>27</v>
      </c>
      <c r="E399" t="s">
        <v>66</v>
      </c>
      <c r="F399" t="s">
        <v>100</v>
      </c>
      <c r="G399" t="s">
        <v>58</v>
      </c>
      <c r="H399" t="s">
        <v>26</v>
      </c>
      <c r="I399" t="s">
        <v>46</v>
      </c>
      <c r="J399" s="1">
        <v>45310</v>
      </c>
      <c r="K399" s="1">
        <v>45356</v>
      </c>
      <c r="L399" t="s">
        <v>60</v>
      </c>
      <c r="M399" s="2">
        <v>18</v>
      </c>
      <c r="O399" t="s">
        <v>29</v>
      </c>
      <c r="P399">
        <v>44</v>
      </c>
      <c r="Q399" t="s">
        <v>61</v>
      </c>
      <c r="R399" t="s">
        <v>31</v>
      </c>
      <c r="S399" t="s">
        <v>892</v>
      </c>
      <c r="T399">
        <v>2</v>
      </c>
      <c r="U399" t="str">
        <f>IF(Teacher_Data[[#This Row],[Completion_Status]]="Completed","Yes","No")</f>
        <v>No</v>
      </c>
      <c r="V399">
        <f>IF(Teacher_Data[[#This Row],[Completion_Status]]="Completed",1,0)</f>
        <v>0</v>
      </c>
      <c r="W399">
        <f>1</f>
        <v>1</v>
      </c>
      <c r="X399">
        <f>Teacher_Data[[#This Row],[End_Date]]-Teacher_Data[[#This Row],[Start_Date]]</f>
        <v>46</v>
      </c>
      <c r="Y399" t="str">
        <f>_xlfn.IFS(Teacher_Data[[#This Row],[Experience_Years]]&lt;=5,"0-5 Years",Teacher_Data[[#This Row],[Experience_Years]]&lt;=10,"5-10 Years",Teacher_Data[[#This Row],[Experience_Years]]&lt;=20,"11-20 Years",TRUE,"20+ Years")</f>
        <v>0-5 Years</v>
      </c>
    </row>
    <row r="400" spans="1:25" x14ac:dyDescent="0.3">
      <c r="A400" t="s">
        <v>893</v>
      </c>
      <c r="B400" t="s">
        <v>308</v>
      </c>
      <c r="C400" t="s">
        <v>35</v>
      </c>
      <c r="D400">
        <v>43</v>
      </c>
      <c r="E400" t="s">
        <v>23</v>
      </c>
      <c r="F400" t="s">
        <v>24</v>
      </c>
      <c r="G400" t="s">
        <v>38</v>
      </c>
      <c r="H400" t="s">
        <v>50</v>
      </c>
      <c r="I400" t="s">
        <v>46</v>
      </c>
      <c r="J400" s="1">
        <v>45359</v>
      </c>
      <c r="K400" s="1">
        <v>45394</v>
      </c>
      <c r="L400" t="s">
        <v>28</v>
      </c>
      <c r="M400" s="2">
        <v>87</v>
      </c>
      <c r="O400" t="s">
        <v>29</v>
      </c>
      <c r="P400">
        <v>36</v>
      </c>
      <c r="Q400" t="s">
        <v>61</v>
      </c>
      <c r="R400" t="s">
        <v>41</v>
      </c>
      <c r="S400" t="s">
        <v>894</v>
      </c>
      <c r="T400">
        <v>4</v>
      </c>
      <c r="U400" t="str">
        <f>IF(Teacher_Data[[#This Row],[Completion_Status]]="Completed","Yes","No")</f>
        <v>No</v>
      </c>
      <c r="V400">
        <f>IF(Teacher_Data[[#This Row],[Completion_Status]]="Completed",1,0)</f>
        <v>0</v>
      </c>
      <c r="W400">
        <f>1</f>
        <v>1</v>
      </c>
      <c r="X400">
        <f>Teacher_Data[[#This Row],[End_Date]]-Teacher_Data[[#This Row],[Start_Date]]</f>
        <v>35</v>
      </c>
      <c r="Y400" t="str">
        <f>_xlfn.IFS(Teacher_Data[[#This Row],[Experience_Years]]&lt;=5,"0-5 Years",Teacher_Data[[#This Row],[Experience_Years]]&lt;=10,"5-10 Years",Teacher_Data[[#This Row],[Experience_Years]]&lt;=20,"11-20 Years",TRUE,"20+ Years")</f>
        <v>0-5 Years</v>
      </c>
    </row>
    <row r="401" spans="1:25" x14ac:dyDescent="0.3">
      <c r="A401" t="s">
        <v>895</v>
      </c>
      <c r="B401" t="s">
        <v>167</v>
      </c>
      <c r="C401" t="s">
        <v>35</v>
      </c>
      <c r="D401">
        <v>33</v>
      </c>
      <c r="E401" t="s">
        <v>36</v>
      </c>
      <c r="F401" t="s">
        <v>24</v>
      </c>
      <c r="G401" t="s">
        <v>76</v>
      </c>
      <c r="H401" t="s">
        <v>59</v>
      </c>
      <c r="I401" t="s">
        <v>27</v>
      </c>
      <c r="J401" s="1">
        <v>45481</v>
      </c>
      <c r="K401" s="1">
        <v>45493</v>
      </c>
      <c r="L401" t="s">
        <v>60</v>
      </c>
      <c r="M401" s="2">
        <v>21</v>
      </c>
      <c r="O401" t="s">
        <v>29</v>
      </c>
      <c r="P401">
        <v>38</v>
      </c>
      <c r="Q401" t="s">
        <v>30</v>
      </c>
      <c r="R401" t="s">
        <v>72</v>
      </c>
      <c r="S401" t="s">
        <v>896</v>
      </c>
      <c r="T401">
        <v>30</v>
      </c>
      <c r="U401" t="str">
        <f>IF(Teacher_Data[[#This Row],[Completion_Status]]="Completed","Yes","No")</f>
        <v>No</v>
      </c>
      <c r="V401">
        <f>IF(Teacher_Data[[#This Row],[Completion_Status]]="Completed",1,0)</f>
        <v>0</v>
      </c>
      <c r="W401">
        <f>1</f>
        <v>1</v>
      </c>
      <c r="X401">
        <f>Teacher_Data[[#This Row],[End_Date]]-Teacher_Data[[#This Row],[Start_Date]]</f>
        <v>12</v>
      </c>
      <c r="Y401" t="str">
        <f>_xlfn.IFS(Teacher_Data[[#This Row],[Experience_Years]]&lt;=5,"0-5 Years",Teacher_Data[[#This Row],[Experience_Years]]&lt;=10,"5-10 Years",Teacher_Data[[#This Row],[Experience_Years]]&lt;=20,"11-20 Years",TRUE,"20+ Years")</f>
        <v>20+ Years</v>
      </c>
    </row>
    <row r="402" spans="1:25" x14ac:dyDescent="0.3">
      <c r="A402" t="s">
        <v>897</v>
      </c>
      <c r="B402" t="s">
        <v>89</v>
      </c>
      <c r="C402" t="s">
        <v>22</v>
      </c>
      <c r="D402">
        <v>43</v>
      </c>
      <c r="E402" t="s">
        <v>36</v>
      </c>
      <c r="F402" t="s">
        <v>100</v>
      </c>
      <c r="G402" t="s">
        <v>25</v>
      </c>
      <c r="H402" t="s">
        <v>50</v>
      </c>
      <c r="I402" t="s">
        <v>51</v>
      </c>
      <c r="J402" s="1">
        <v>45588</v>
      </c>
      <c r="K402" s="1">
        <v>45641</v>
      </c>
      <c r="L402" t="s">
        <v>28</v>
      </c>
      <c r="M402" s="2">
        <v>80</v>
      </c>
      <c r="O402" t="s">
        <v>29</v>
      </c>
      <c r="P402">
        <v>28</v>
      </c>
      <c r="Q402" t="s">
        <v>40</v>
      </c>
      <c r="R402" t="s">
        <v>41</v>
      </c>
      <c r="S402" t="s">
        <v>898</v>
      </c>
      <c r="T402">
        <v>19</v>
      </c>
      <c r="U402" t="str">
        <f>IF(Teacher_Data[[#This Row],[Completion_Status]]="Completed","Yes","No")</f>
        <v>No</v>
      </c>
      <c r="V402">
        <f>IF(Teacher_Data[[#This Row],[Completion_Status]]="Completed",1,0)</f>
        <v>0</v>
      </c>
      <c r="W402">
        <f>1</f>
        <v>1</v>
      </c>
      <c r="X402">
        <f>Teacher_Data[[#This Row],[End_Date]]-Teacher_Data[[#This Row],[Start_Date]]</f>
        <v>53</v>
      </c>
      <c r="Y402" t="str">
        <f>_xlfn.IFS(Teacher_Data[[#This Row],[Experience_Years]]&lt;=5,"0-5 Years",Teacher_Data[[#This Row],[Experience_Years]]&lt;=10,"5-10 Years",Teacher_Data[[#This Row],[Experience_Years]]&lt;=20,"11-20 Years",TRUE,"20+ Years")</f>
        <v>11-20 Years</v>
      </c>
    </row>
    <row r="403" spans="1:25" x14ac:dyDescent="0.3">
      <c r="A403" t="s">
        <v>899</v>
      </c>
      <c r="B403" t="s">
        <v>56</v>
      </c>
      <c r="C403" t="s">
        <v>35</v>
      </c>
      <c r="D403">
        <v>36</v>
      </c>
      <c r="E403" t="s">
        <v>57</v>
      </c>
      <c r="F403" t="s">
        <v>67</v>
      </c>
      <c r="G403" t="s">
        <v>76</v>
      </c>
      <c r="H403" t="s">
        <v>59</v>
      </c>
      <c r="I403" t="s">
        <v>51</v>
      </c>
      <c r="J403" s="1">
        <v>45556</v>
      </c>
      <c r="K403" s="1">
        <v>45616</v>
      </c>
      <c r="L403" t="s">
        <v>60</v>
      </c>
      <c r="M403" s="2">
        <v>17</v>
      </c>
      <c r="O403" t="s">
        <v>29</v>
      </c>
      <c r="P403">
        <v>9</v>
      </c>
      <c r="Q403" t="s">
        <v>68</v>
      </c>
      <c r="R403" t="s">
        <v>41</v>
      </c>
      <c r="S403" t="s">
        <v>900</v>
      </c>
      <c r="T403">
        <v>6</v>
      </c>
      <c r="U403" t="str">
        <f>IF(Teacher_Data[[#This Row],[Completion_Status]]="Completed","Yes","No")</f>
        <v>No</v>
      </c>
      <c r="V403">
        <f>IF(Teacher_Data[[#This Row],[Completion_Status]]="Completed",1,0)</f>
        <v>0</v>
      </c>
      <c r="W403">
        <f>1</f>
        <v>1</v>
      </c>
      <c r="X403">
        <f>Teacher_Data[[#This Row],[End_Date]]-Teacher_Data[[#This Row],[Start_Date]]</f>
        <v>60</v>
      </c>
      <c r="Y403" t="str">
        <f>_xlfn.IFS(Teacher_Data[[#This Row],[Experience_Years]]&lt;=5,"0-5 Years",Teacher_Data[[#This Row],[Experience_Years]]&lt;=10,"5-10 Years",Teacher_Data[[#This Row],[Experience_Years]]&lt;=20,"11-20 Years",TRUE,"20+ Years")</f>
        <v>5-10 Years</v>
      </c>
    </row>
    <row r="404" spans="1:25" x14ac:dyDescent="0.3">
      <c r="A404" t="s">
        <v>901</v>
      </c>
      <c r="B404" t="s">
        <v>191</v>
      </c>
      <c r="C404" t="s">
        <v>22</v>
      </c>
      <c r="D404">
        <v>50</v>
      </c>
      <c r="E404" t="s">
        <v>36</v>
      </c>
      <c r="F404" t="s">
        <v>83</v>
      </c>
      <c r="G404" t="s">
        <v>45</v>
      </c>
      <c r="H404" t="s">
        <v>59</v>
      </c>
      <c r="I404" t="s">
        <v>51</v>
      </c>
      <c r="J404" s="1">
        <v>45479</v>
      </c>
      <c r="K404" s="1">
        <v>45526</v>
      </c>
      <c r="L404" t="s">
        <v>60</v>
      </c>
      <c r="M404" s="2">
        <v>34</v>
      </c>
      <c r="O404" t="s">
        <v>29</v>
      </c>
      <c r="P404">
        <v>55</v>
      </c>
      <c r="Q404" t="s">
        <v>68</v>
      </c>
      <c r="R404" t="s">
        <v>62</v>
      </c>
      <c r="S404" t="s">
        <v>902</v>
      </c>
      <c r="T404">
        <v>21</v>
      </c>
      <c r="U404" t="str">
        <f>IF(Teacher_Data[[#This Row],[Completion_Status]]="Completed","Yes","No")</f>
        <v>No</v>
      </c>
      <c r="V404">
        <f>IF(Teacher_Data[[#This Row],[Completion_Status]]="Completed",1,0)</f>
        <v>0</v>
      </c>
      <c r="W404">
        <f>1</f>
        <v>1</v>
      </c>
      <c r="X404">
        <f>Teacher_Data[[#This Row],[End_Date]]-Teacher_Data[[#This Row],[Start_Date]]</f>
        <v>47</v>
      </c>
      <c r="Y404" t="str">
        <f>_xlfn.IFS(Teacher_Data[[#This Row],[Experience_Years]]&lt;=5,"0-5 Years",Teacher_Data[[#This Row],[Experience_Years]]&lt;=10,"5-10 Years",Teacher_Data[[#This Row],[Experience_Years]]&lt;=20,"11-20 Years",TRUE,"20+ Years")</f>
        <v>20+ Years</v>
      </c>
    </row>
    <row r="405" spans="1:25" x14ac:dyDescent="0.3">
      <c r="A405" t="s">
        <v>903</v>
      </c>
      <c r="B405" t="s">
        <v>34</v>
      </c>
      <c r="C405" t="s">
        <v>35</v>
      </c>
      <c r="D405">
        <v>45</v>
      </c>
      <c r="E405" t="s">
        <v>66</v>
      </c>
      <c r="F405" t="s">
        <v>100</v>
      </c>
      <c r="G405" t="s">
        <v>25</v>
      </c>
      <c r="H405" t="s">
        <v>59</v>
      </c>
      <c r="I405" t="s">
        <v>27</v>
      </c>
      <c r="J405" s="1">
        <v>45370</v>
      </c>
      <c r="K405" s="1">
        <v>45417</v>
      </c>
      <c r="L405" t="s">
        <v>28</v>
      </c>
      <c r="M405" s="2">
        <v>58</v>
      </c>
      <c r="O405" t="s">
        <v>29</v>
      </c>
      <c r="P405">
        <v>38</v>
      </c>
      <c r="Q405" t="s">
        <v>30</v>
      </c>
      <c r="R405" t="s">
        <v>104</v>
      </c>
      <c r="S405" t="s">
        <v>904</v>
      </c>
      <c r="T405">
        <v>21</v>
      </c>
      <c r="U405" t="str">
        <f>IF(Teacher_Data[[#This Row],[Completion_Status]]="Completed","Yes","No")</f>
        <v>No</v>
      </c>
      <c r="V405">
        <f>IF(Teacher_Data[[#This Row],[Completion_Status]]="Completed",1,0)</f>
        <v>0</v>
      </c>
      <c r="W405">
        <f>1</f>
        <v>1</v>
      </c>
      <c r="X405">
        <f>Teacher_Data[[#This Row],[End_Date]]-Teacher_Data[[#This Row],[Start_Date]]</f>
        <v>47</v>
      </c>
      <c r="Y405" t="str">
        <f>_xlfn.IFS(Teacher_Data[[#This Row],[Experience_Years]]&lt;=5,"0-5 Years",Teacher_Data[[#This Row],[Experience_Years]]&lt;=10,"5-10 Years",Teacher_Data[[#This Row],[Experience_Years]]&lt;=20,"11-20 Years",TRUE,"20+ Years")</f>
        <v>20+ Years</v>
      </c>
    </row>
    <row r="406" spans="1:25" x14ac:dyDescent="0.3">
      <c r="A406" t="s">
        <v>905</v>
      </c>
      <c r="B406" t="s">
        <v>21</v>
      </c>
      <c r="C406" t="s">
        <v>22</v>
      </c>
      <c r="D406">
        <v>29</v>
      </c>
      <c r="E406" t="s">
        <v>57</v>
      </c>
      <c r="F406" t="s">
        <v>100</v>
      </c>
      <c r="G406" t="s">
        <v>58</v>
      </c>
      <c r="H406" t="s">
        <v>59</v>
      </c>
      <c r="I406" t="s">
        <v>51</v>
      </c>
      <c r="J406" s="1">
        <v>45589</v>
      </c>
      <c r="K406" s="1">
        <v>45647</v>
      </c>
      <c r="L406" t="s">
        <v>52</v>
      </c>
      <c r="M406" s="2">
        <v>69</v>
      </c>
      <c r="N406">
        <v>67</v>
      </c>
      <c r="O406" t="s">
        <v>53</v>
      </c>
      <c r="P406">
        <v>19</v>
      </c>
      <c r="Q406" t="s">
        <v>61</v>
      </c>
      <c r="R406" t="s">
        <v>31</v>
      </c>
      <c r="S406" t="s">
        <v>906</v>
      </c>
      <c r="T406">
        <v>3</v>
      </c>
      <c r="U406" t="str">
        <f>IF(Teacher_Data[[#This Row],[Completion_Status]]="Completed","Yes","No")</f>
        <v>Yes</v>
      </c>
      <c r="V406">
        <f>IF(Teacher_Data[[#This Row],[Completion_Status]]="Completed",1,0)</f>
        <v>1</v>
      </c>
      <c r="W406">
        <f>1</f>
        <v>1</v>
      </c>
      <c r="X406">
        <f>Teacher_Data[[#This Row],[End_Date]]-Teacher_Data[[#This Row],[Start_Date]]</f>
        <v>58</v>
      </c>
      <c r="Y406" t="str">
        <f>_xlfn.IFS(Teacher_Data[[#This Row],[Experience_Years]]&lt;=5,"0-5 Years",Teacher_Data[[#This Row],[Experience_Years]]&lt;=10,"5-10 Years",Teacher_Data[[#This Row],[Experience_Years]]&lt;=20,"11-20 Years",TRUE,"20+ Years")</f>
        <v>0-5 Years</v>
      </c>
    </row>
    <row r="407" spans="1:25" x14ac:dyDescent="0.3">
      <c r="A407" t="s">
        <v>907</v>
      </c>
      <c r="B407" t="s">
        <v>214</v>
      </c>
      <c r="C407" t="s">
        <v>22</v>
      </c>
      <c r="D407">
        <v>45</v>
      </c>
      <c r="E407" t="s">
        <v>57</v>
      </c>
      <c r="F407" t="s">
        <v>67</v>
      </c>
      <c r="G407" t="s">
        <v>25</v>
      </c>
      <c r="H407" t="s">
        <v>26</v>
      </c>
      <c r="I407" t="s">
        <v>46</v>
      </c>
      <c r="J407" s="1">
        <v>45379</v>
      </c>
      <c r="K407" s="1">
        <v>45396</v>
      </c>
      <c r="L407" t="s">
        <v>52</v>
      </c>
      <c r="M407" s="2">
        <v>86</v>
      </c>
      <c r="N407">
        <v>73</v>
      </c>
      <c r="O407" t="s">
        <v>53</v>
      </c>
      <c r="P407">
        <v>29</v>
      </c>
      <c r="Q407" t="s">
        <v>40</v>
      </c>
      <c r="R407" t="s">
        <v>31</v>
      </c>
      <c r="S407" t="s">
        <v>908</v>
      </c>
      <c r="T407">
        <v>23</v>
      </c>
      <c r="U407" t="str">
        <f>IF(Teacher_Data[[#This Row],[Completion_Status]]="Completed","Yes","No")</f>
        <v>Yes</v>
      </c>
      <c r="V407">
        <f>IF(Teacher_Data[[#This Row],[Completion_Status]]="Completed",1,0)</f>
        <v>1</v>
      </c>
      <c r="W407">
        <f>1</f>
        <v>1</v>
      </c>
      <c r="X407">
        <f>Teacher_Data[[#This Row],[End_Date]]-Teacher_Data[[#This Row],[Start_Date]]</f>
        <v>17</v>
      </c>
      <c r="Y407" t="str">
        <f>_xlfn.IFS(Teacher_Data[[#This Row],[Experience_Years]]&lt;=5,"0-5 Years",Teacher_Data[[#This Row],[Experience_Years]]&lt;=10,"5-10 Years",Teacher_Data[[#This Row],[Experience_Years]]&lt;=20,"11-20 Years",TRUE,"20+ Years")</f>
        <v>20+ Years</v>
      </c>
    </row>
    <row r="408" spans="1:25" x14ac:dyDescent="0.3">
      <c r="A408" t="s">
        <v>909</v>
      </c>
      <c r="B408" t="s">
        <v>308</v>
      </c>
      <c r="C408" t="s">
        <v>22</v>
      </c>
      <c r="D408">
        <v>59</v>
      </c>
      <c r="E408" t="s">
        <v>57</v>
      </c>
      <c r="F408" t="s">
        <v>67</v>
      </c>
      <c r="G408" t="s">
        <v>38</v>
      </c>
      <c r="H408" t="s">
        <v>26</v>
      </c>
      <c r="I408" t="s">
        <v>46</v>
      </c>
      <c r="J408" s="1">
        <v>45574</v>
      </c>
      <c r="K408" s="1">
        <v>45594</v>
      </c>
      <c r="L408" t="s">
        <v>28</v>
      </c>
      <c r="M408" s="2">
        <v>79</v>
      </c>
      <c r="O408" t="s">
        <v>29</v>
      </c>
      <c r="P408">
        <v>46</v>
      </c>
      <c r="Q408" t="s">
        <v>40</v>
      </c>
      <c r="R408" t="s">
        <v>62</v>
      </c>
      <c r="S408" t="s">
        <v>910</v>
      </c>
      <c r="T408">
        <v>9</v>
      </c>
      <c r="U408" t="str">
        <f>IF(Teacher_Data[[#This Row],[Completion_Status]]="Completed","Yes","No")</f>
        <v>No</v>
      </c>
      <c r="V408">
        <f>IF(Teacher_Data[[#This Row],[Completion_Status]]="Completed",1,0)</f>
        <v>0</v>
      </c>
      <c r="W408">
        <f>1</f>
        <v>1</v>
      </c>
      <c r="X408">
        <f>Teacher_Data[[#This Row],[End_Date]]-Teacher_Data[[#This Row],[Start_Date]]</f>
        <v>20</v>
      </c>
      <c r="Y408" t="str">
        <f>_xlfn.IFS(Teacher_Data[[#This Row],[Experience_Years]]&lt;=5,"0-5 Years",Teacher_Data[[#This Row],[Experience_Years]]&lt;=10,"5-10 Years",Teacher_Data[[#This Row],[Experience_Years]]&lt;=20,"11-20 Years",TRUE,"20+ Years")</f>
        <v>5-10 Years</v>
      </c>
    </row>
    <row r="409" spans="1:25" x14ac:dyDescent="0.3">
      <c r="A409" t="s">
        <v>911</v>
      </c>
      <c r="B409" t="s">
        <v>281</v>
      </c>
      <c r="C409" t="s">
        <v>22</v>
      </c>
      <c r="D409">
        <v>42</v>
      </c>
      <c r="E409" t="s">
        <v>23</v>
      </c>
      <c r="F409" t="s">
        <v>37</v>
      </c>
      <c r="G409" t="s">
        <v>45</v>
      </c>
      <c r="H409" t="s">
        <v>59</v>
      </c>
      <c r="I409" t="s">
        <v>27</v>
      </c>
      <c r="J409" s="1">
        <v>45335</v>
      </c>
      <c r="K409" s="1">
        <v>45392</v>
      </c>
      <c r="L409" t="s">
        <v>52</v>
      </c>
      <c r="M409" s="2">
        <v>95</v>
      </c>
      <c r="N409">
        <v>89</v>
      </c>
      <c r="O409" t="s">
        <v>53</v>
      </c>
      <c r="P409">
        <v>9</v>
      </c>
      <c r="Q409" t="s">
        <v>68</v>
      </c>
      <c r="R409" t="s">
        <v>31</v>
      </c>
      <c r="S409" t="s">
        <v>912</v>
      </c>
      <c r="T409">
        <v>22</v>
      </c>
      <c r="U409" t="str">
        <f>IF(Teacher_Data[[#This Row],[Completion_Status]]="Completed","Yes","No")</f>
        <v>Yes</v>
      </c>
      <c r="V409">
        <f>IF(Teacher_Data[[#This Row],[Completion_Status]]="Completed",1,0)</f>
        <v>1</v>
      </c>
      <c r="W409">
        <f>1</f>
        <v>1</v>
      </c>
      <c r="X409">
        <f>Teacher_Data[[#This Row],[End_Date]]-Teacher_Data[[#This Row],[Start_Date]]</f>
        <v>57</v>
      </c>
      <c r="Y409" t="str">
        <f>_xlfn.IFS(Teacher_Data[[#This Row],[Experience_Years]]&lt;=5,"0-5 Years",Teacher_Data[[#This Row],[Experience_Years]]&lt;=10,"5-10 Years",Teacher_Data[[#This Row],[Experience_Years]]&lt;=20,"11-20 Years",TRUE,"20+ Years")</f>
        <v>20+ Years</v>
      </c>
    </row>
    <row r="410" spans="1:25" x14ac:dyDescent="0.3">
      <c r="A410" t="s">
        <v>913</v>
      </c>
      <c r="B410" t="s">
        <v>107</v>
      </c>
      <c r="C410" t="s">
        <v>35</v>
      </c>
      <c r="D410">
        <v>23</v>
      </c>
      <c r="E410" t="s">
        <v>57</v>
      </c>
      <c r="F410" t="s">
        <v>67</v>
      </c>
      <c r="G410" t="s">
        <v>45</v>
      </c>
      <c r="H410" t="s">
        <v>59</v>
      </c>
      <c r="I410" t="s">
        <v>51</v>
      </c>
      <c r="J410" s="1">
        <v>45529</v>
      </c>
      <c r="K410" s="1">
        <v>45548</v>
      </c>
      <c r="L410" t="s">
        <v>52</v>
      </c>
      <c r="M410" s="2">
        <v>68</v>
      </c>
      <c r="N410">
        <v>89</v>
      </c>
      <c r="O410" t="s">
        <v>53</v>
      </c>
      <c r="P410">
        <v>11</v>
      </c>
      <c r="Q410" t="s">
        <v>40</v>
      </c>
      <c r="R410" t="s">
        <v>72</v>
      </c>
      <c r="S410" t="s">
        <v>914</v>
      </c>
      <c r="T410">
        <v>16</v>
      </c>
      <c r="U410" t="str">
        <f>IF(Teacher_Data[[#This Row],[Completion_Status]]="Completed","Yes","No")</f>
        <v>Yes</v>
      </c>
      <c r="V410">
        <f>IF(Teacher_Data[[#This Row],[Completion_Status]]="Completed",1,0)</f>
        <v>1</v>
      </c>
      <c r="W410">
        <f>1</f>
        <v>1</v>
      </c>
      <c r="X410">
        <f>Teacher_Data[[#This Row],[End_Date]]-Teacher_Data[[#This Row],[Start_Date]]</f>
        <v>19</v>
      </c>
      <c r="Y410" t="str">
        <f>_xlfn.IFS(Teacher_Data[[#This Row],[Experience_Years]]&lt;=5,"0-5 Years",Teacher_Data[[#This Row],[Experience_Years]]&lt;=10,"5-10 Years",Teacher_Data[[#This Row],[Experience_Years]]&lt;=20,"11-20 Years",TRUE,"20+ Years")</f>
        <v>11-20 Years</v>
      </c>
    </row>
    <row r="411" spans="1:25" x14ac:dyDescent="0.3">
      <c r="A411" t="s">
        <v>915</v>
      </c>
      <c r="B411" t="s">
        <v>179</v>
      </c>
      <c r="C411" t="s">
        <v>35</v>
      </c>
      <c r="D411">
        <v>54</v>
      </c>
      <c r="E411" t="s">
        <v>23</v>
      </c>
      <c r="F411" t="s">
        <v>24</v>
      </c>
      <c r="G411" t="s">
        <v>38</v>
      </c>
      <c r="H411" t="s">
        <v>50</v>
      </c>
      <c r="I411" t="s">
        <v>27</v>
      </c>
      <c r="J411" s="1">
        <v>45467</v>
      </c>
      <c r="K411" s="1">
        <v>45513</v>
      </c>
      <c r="L411" t="s">
        <v>60</v>
      </c>
      <c r="M411" s="2">
        <v>8</v>
      </c>
      <c r="O411" t="s">
        <v>29</v>
      </c>
      <c r="P411">
        <v>21</v>
      </c>
      <c r="Q411" t="s">
        <v>30</v>
      </c>
      <c r="R411" t="s">
        <v>62</v>
      </c>
      <c r="S411" t="s">
        <v>916</v>
      </c>
      <c r="T411">
        <v>10</v>
      </c>
      <c r="U411" t="str">
        <f>IF(Teacher_Data[[#This Row],[Completion_Status]]="Completed","Yes","No")</f>
        <v>No</v>
      </c>
      <c r="V411">
        <f>IF(Teacher_Data[[#This Row],[Completion_Status]]="Completed",1,0)</f>
        <v>0</v>
      </c>
      <c r="W411">
        <f>1</f>
        <v>1</v>
      </c>
      <c r="X411">
        <f>Teacher_Data[[#This Row],[End_Date]]-Teacher_Data[[#This Row],[Start_Date]]</f>
        <v>46</v>
      </c>
      <c r="Y411" t="str">
        <f>_xlfn.IFS(Teacher_Data[[#This Row],[Experience_Years]]&lt;=5,"0-5 Years",Teacher_Data[[#This Row],[Experience_Years]]&lt;=10,"5-10 Years",Teacher_Data[[#This Row],[Experience_Years]]&lt;=20,"11-20 Years",TRUE,"20+ Years")</f>
        <v>5-10 Years</v>
      </c>
    </row>
    <row r="412" spans="1:25" x14ac:dyDescent="0.3">
      <c r="A412" t="s">
        <v>917</v>
      </c>
      <c r="B412" t="s">
        <v>99</v>
      </c>
      <c r="C412" t="s">
        <v>35</v>
      </c>
      <c r="D412">
        <v>56</v>
      </c>
      <c r="E412" t="s">
        <v>57</v>
      </c>
      <c r="F412" t="s">
        <v>37</v>
      </c>
      <c r="G412" t="s">
        <v>38</v>
      </c>
      <c r="H412" t="s">
        <v>50</v>
      </c>
      <c r="I412" t="s">
        <v>46</v>
      </c>
      <c r="J412" s="1">
        <v>45323</v>
      </c>
      <c r="K412" s="1">
        <v>45356</v>
      </c>
      <c r="L412" t="s">
        <v>60</v>
      </c>
      <c r="M412" s="2">
        <v>34</v>
      </c>
      <c r="O412" t="s">
        <v>29</v>
      </c>
      <c r="P412">
        <v>37</v>
      </c>
      <c r="Q412" t="s">
        <v>61</v>
      </c>
      <c r="R412" t="s">
        <v>62</v>
      </c>
      <c r="S412" t="s">
        <v>918</v>
      </c>
      <c r="T412">
        <v>26</v>
      </c>
      <c r="U412" t="str">
        <f>IF(Teacher_Data[[#This Row],[Completion_Status]]="Completed","Yes","No")</f>
        <v>No</v>
      </c>
      <c r="V412">
        <f>IF(Teacher_Data[[#This Row],[Completion_Status]]="Completed",1,0)</f>
        <v>0</v>
      </c>
      <c r="W412">
        <f>1</f>
        <v>1</v>
      </c>
      <c r="X412">
        <f>Teacher_Data[[#This Row],[End_Date]]-Teacher_Data[[#This Row],[Start_Date]]</f>
        <v>33</v>
      </c>
      <c r="Y412" t="str">
        <f>_xlfn.IFS(Teacher_Data[[#This Row],[Experience_Years]]&lt;=5,"0-5 Years",Teacher_Data[[#This Row],[Experience_Years]]&lt;=10,"5-10 Years",Teacher_Data[[#This Row],[Experience_Years]]&lt;=20,"11-20 Years",TRUE,"20+ Years")</f>
        <v>20+ Years</v>
      </c>
    </row>
    <row r="413" spans="1:25" x14ac:dyDescent="0.3">
      <c r="A413" t="s">
        <v>919</v>
      </c>
      <c r="B413" t="s">
        <v>179</v>
      </c>
      <c r="C413" t="s">
        <v>35</v>
      </c>
      <c r="D413">
        <v>54</v>
      </c>
      <c r="E413" t="s">
        <v>66</v>
      </c>
      <c r="F413" t="s">
        <v>67</v>
      </c>
      <c r="G413" t="s">
        <v>58</v>
      </c>
      <c r="H413" t="s">
        <v>26</v>
      </c>
      <c r="I413" t="s">
        <v>27</v>
      </c>
      <c r="J413" s="1">
        <v>45305</v>
      </c>
      <c r="K413" s="1">
        <v>45338</v>
      </c>
      <c r="L413" t="s">
        <v>28</v>
      </c>
      <c r="M413" s="2">
        <v>61</v>
      </c>
      <c r="O413" t="s">
        <v>29</v>
      </c>
      <c r="P413">
        <v>46</v>
      </c>
      <c r="Q413" t="s">
        <v>40</v>
      </c>
      <c r="R413" t="s">
        <v>104</v>
      </c>
      <c r="S413" t="s">
        <v>920</v>
      </c>
      <c r="T413">
        <v>33</v>
      </c>
      <c r="U413" t="str">
        <f>IF(Teacher_Data[[#This Row],[Completion_Status]]="Completed","Yes","No")</f>
        <v>No</v>
      </c>
      <c r="V413">
        <f>IF(Teacher_Data[[#This Row],[Completion_Status]]="Completed",1,0)</f>
        <v>0</v>
      </c>
      <c r="W413">
        <f>1</f>
        <v>1</v>
      </c>
      <c r="X413">
        <f>Teacher_Data[[#This Row],[End_Date]]-Teacher_Data[[#This Row],[Start_Date]]</f>
        <v>33</v>
      </c>
      <c r="Y413" t="str">
        <f>_xlfn.IFS(Teacher_Data[[#This Row],[Experience_Years]]&lt;=5,"0-5 Years",Teacher_Data[[#This Row],[Experience_Years]]&lt;=10,"5-10 Years",Teacher_Data[[#This Row],[Experience_Years]]&lt;=20,"11-20 Years",TRUE,"20+ Years")</f>
        <v>20+ Years</v>
      </c>
    </row>
    <row r="414" spans="1:25" x14ac:dyDescent="0.3">
      <c r="A414" t="s">
        <v>921</v>
      </c>
      <c r="B414" t="s">
        <v>238</v>
      </c>
      <c r="C414" t="s">
        <v>22</v>
      </c>
      <c r="D414">
        <v>59</v>
      </c>
      <c r="E414" t="s">
        <v>57</v>
      </c>
      <c r="F414" t="s">
        <v>24</v>
      </c>
      <c r="G414" t="s">
        <v>58</v>
      </c>
      <c r="H414" t="s">
        <v>39</v>
      </c>
      <c r="I414" t="s">
        <v>46</v>
      </c>
      <c r="J414" s="1">
        <v>45333</v>
      </c>
      <c r="K414" s="1">
        <v>45377</v>
      </c>
      <c r="L414" t="s">
        <v>52</v>
      </c>
      <c r="M414" s="2">
        <v>55</v>
      </c>
      <c r="N414">
        <v>72</v>
      </c>
      <c r="O414" t="s">
        <v>53</v>
      </c>
      <c r="P414">
        <v>48</v>
      </c>
      <c r="Q414" t="s">
        <v>30</v>
      </c>
      <c r="R414" t="s">
        <v>62</v>
      </c>
      <c r="S414" t="s">
        <v>922</v>
      </c>
      <c r="T414">
        <v>26</v>
      </c>
      <c r="U414" t="str">
        <f>IF(Teacher_Data[[#This Row],[Completion_Status]]="Completed","Yes","No")</f>
        <v>Yes</v>
      </c>
      <c r="V414">
        <f>IF(Teacher_Data[[#This Row],[Completion_Status]]="Completed",1,0)</f>
        <v>1</v>
      </c>
      <c r="W414">
        <f>1</f>
        <v>1</v>
      </c>
      <c r="X414">
        <f>Teacher_Data[[#This Row],[End_Date]]-Teacher_Data[[#This Row],[Start_Date]]</f>
        <v>44</v>
      </c>
      <c r="Y414" t="str">
        <f>_xlfn.IFS(Teacher_Data[[#This Row],[Experience_Years]]&lt;=5,"0-5 Years",Teacher_Data[[#This Row],[Experience_Years]]&lt;=10,"5-10 Years",Teacher_Data[[#This Row],[Experience_Years]]&lt;=20,"11-20 Years",TRUE,"20+ Years")</f>
        <v>20+ Years</v>
      </c>
    </row>
    <row r="415" spans="1:25" x14ac:dyDescent="0.3">
      <c r="A415" t="s">
        <v>923</v>
      </c>
      <c r="B415" t="s">
        <v>56</v>
      </c>
      <c r="C415" t="s">
        <v>22</v>
      </c>
      <c r="D415">
        <v>42</v>
      </c>
      <c r="E415" t="s">
        <v>36</v>
      </c>
      <c r="F415" t="s">
        <v>24</v>
      </c>
      <c r="G415" t="s">
        <v>58</v>
      </c>
      <c r="H415" t="s">
        <v>59</v>
      </c>
      <c r="I415" t="s">
        <v>46</v>
      </c>
      <c r="J415" s="1">
        <v>45410</v>
      </c>
      <c r="K415" s="1">
        <v>45448</v>
      </c>
      <c r="L415" t="s">
        <v>52</v>
      </c>
      <c r="M415" s="2">
        <v>52</v>
      </c>
      <c r="N415">
        <v>52</v>
      </c>
      <c r="O415" t="s">
        <v>53</v>
      </c>
      <c r="P415">
        <v>27</v>
      </c>
      <c r="Q415" t="s">
        <v>61</v>
      </c>
      <c r="R415" t="s">
        <v>31</v>
      </c>
      <c r="S415" t="s">
        <v>924</v>
      </c>
      <c r="T415">
        <v>12</v>
      </c>
      <c r="U415" t="str">
        <f>IF(Teacher_Data[[#This Row],[Completion_Status]]="Completed","Yes","No")</f>
        <v>Yes</v>
      </c>
      <c r="V415">
        <f>IF(Teacher_Data[[#This Row],[Completion_Status]]="Completed",1,0)</f>
        <v>1</v>
      </c>
      <c r="W415">
        <f>1</f>
        <v>1</v>
      </c>
      <c r="X415">
        <f>Teacher_Data[[#This Row],[End_Date]]-Teacher_Data[[#This Row],[Start_Date]]</f>
        <v>38</v>
      </c>
      <c r="Y415" t="str">
        <f>_xlfn.IFS(Teacher_Data[[#This Row],[Experience_Years]]&lt;=5,"0-5 Years",Teacher_Data[[#This Row],[Experience_Years]]&lt;=10,"5-10 Years",Teacher_Data[[#This Row],[Experience_Years]]&lt;=20,"11-20 Years",TRUE,"20+ Years")</f>
        <v>11-20 Years</v>
      </c>
    </row>
    <row r="416" spans="1:25" x14ac:dyDescent="0.3">
      <c r="A416" t="s">
        <v>925</v>
      </c>
      <c r="B416" t="s">
        <v>182</v>
      </c>
      <c r="C416" t="s">
        <v>35</v>
      </c>
      <c r="D416">
        <v>27</v>
      </c>
      <c r="E416" t="s">
        <v>66</v>
      </c>
      <c r="F416" t="s">
        <v>83</v>
      </c>
      <c r="G416" t="s">
        <v>38</v>
      </c>
      <c r="H416" t="s">
        <v>59</v>
      </c>
      <c r="I416" t="s">
        <v>51</v>
      </c>
      <c r="J416" s="1">
        <v>45542</v>
      </c>
      <c r="K416" s="1">
        <v>45579</v>
      </c>
      <c r="L416" t="s">
        <v>60</v>
      </c>
      <c r="M416" s="2">
        <v>8</v>
      </c>
      <c r="O416" t="s">
        <v>29</v>
      </c>
      <c r="P416">
        <v>24</v>
      </c>
      <c r="Q416" t="s">
        <v>30</v>
      </c>
      <c r="R416" t="s">
        <v>41</v>
      </c>
      <c r="S416" t="s">
        <v>926</v>
      </c>
      <c r="T416">
        <v>23</v>
      </c>
      <c r="U416" t="str">
        <f>IF(Teacher_Data[[#This Row],[Completion_Status]]="Completed","Yes","No")</f>
        <v>No</v>
      </c>
      <c r="V416">
        <f>IF(Teacher_Data[[#This Row],[Completion_Status]]="Completed",1,0)</f>
        <v>0</v>
      </c>
      <c r="W416">
        <f>1</f>
        <v>1</v>
      </c>
      <c r="X416">
        <f>Teacher_Data[[#This Row],[End_Date]]-Teacher_Data[[#This Row],[Start_Date]]</f>
        <v>37</v>
      </c>
      <c r="Y416" t="str">
        <f>_xlfn.IFS(Teacher_Data[[#This Row],[Experience_Years]]&lt;=5,"0-5 Years",Teacher_Data[[#This Row],[Experience_Years]]&lt;=10,"5-10 Years",Teacher_Data[[#This Row],[Experience_Years]]&lt;=20,"11-20 Years",TRUE,"20+ Years")</f>
        <v>20+ Years</v>
      </c>
    </row>
    <row r="417" spans="1:25" x14ac:dyDescent="0.3">
      <c r="A417" t="s">
        <v>927</v>
      </c>
      <c r="B417" t="s">
        <v>281</v>
      </c>
      <c r="C417" t="s">
        <v>22</v>
      </c>
      <c r="D417">
        <v>36</v>
      </c>
      <c r="E417" t="s">
        <v>36</v>
      </c>
      <c r="F417" t="s">
        <v>83</v>
      </c>
      <c r="G417" t="s">
        <v>25</v>
      </c>
      <c r="H417" t="s">
        <v>59</v>
      </c>
      <c r="I417" t="s">
        <v>51</v>
      </c>
      <c r="J417" s="1">
        <v>45326</v>
      </c>
      <c r="K417" s="1">
        <v>45338</v>
      </c>
      <c r="L417" t="s">
        <v>60</v>
      </c>
      <c r="M417" s="2">
        <v>19</v>
      </c>
      <c r="O417" t="s">
        <v>29</v>
      </c>
      <c r="P417">
        <v>20</v>
      </c>
      <c r="Q417" t="s">
        <v>40</v>
      </c>
      <c r="R417" t="s">
        <v>62</v>
      </c>
      <c r="S417" t="s">
        <v>928</v>
      </c>
      <c r="T417">
        <v>20</v>
      </c>
      <c r="U417" t="str">
        <f>IF(Teacher_Data[[#This Row],[Completion_Status]]="Completed","Yes","No")</f>
        <v>No</v>
      </c>
      <c r="V417">
        <f>IF(Teacher_Data[[#This Row],[Completion_Status]]="Completed",1,0)</f>
        <v>0</v>
      </c>
      <c r="W417">
        <f>1</f>
        <v>1</v>
      </c>
      <c r="X417">
        <f>Teacher_Data[[#This Row],[End_Date]]-Teacher_Data[[#This Row],[Start_Date]]</f>
        <v>12</v>
      </c>
      <c r="Y417" t="str">
        <f>_xlfn.IFS(Teacher_Data[[#This Row],[Experience_Years]]&lt;=5,"0-5 Years",Teacher_Data[[#This Row],[Experience_Years]]&lt;=10,"5-10 Years",Teacher_Data[[#This Row],[Experience_Years]]&lt;=20,"11-20 Years",TRUE,"20+ Years")</f>
        <v>11-20 Years</v>
      </c>
    </row>
    <row r="418" spans="1:25" x14ac:dyDescent="0.3">
      <c r="A418" t="s">
        <v>929</v>
      </c>
      <c r="B418" t="s">
        <v>115</v>
      </c>
      <c r="C418" t="s">
        <v>35</v>
      </c>
      <c r="D418">
        <v>43</v>
      </c>
      <c r="E418" t="s">
        <v>36</v>
      </c>
      <c r="F418" t="s">
        <v>100</v>
      </c>
      <c r="G418" t="s">
        <v>25</v>
      </c>
      <c r="H418" t="s">
        <v>59</v>
      </c>
      <c r="I418" t="s">
        <v>46</v>
      </c>
      <c r="J418" s="1">
        <v>45550</v>
      </c>
      <c r="K418" s="1">
        <v>45583</v>
      </c>
      <c r="L418" t="s">
        <v>52</v>
      </c>
      <c r="M418" s="2">
        <v>90</v>
      </c>
      <c r="N418">
        <v>82</v>
      </c>
      <c r="O418" t="s">
        <v>53</v>
      </c>
      <c r="P418">
        <v>17</v>
      </c>
      <c r="Q418" t="s">
        <v>30</v>
      </c>
      <c r="R418" t="s">
        <v>41</v>
      </c>
      <c r="S418" t="s">
        <v>930</v>
      </c>
      <c r="T418">
        <v>11</v>
      </c>
      <c r="U418" t="str">
        <f>IF(Teacher_Data[[#This Row],[Completion_Status]]="Completed","Yes","No")</f>
        <v>Yes</v>
      </c>
      <c r="V418">
        <f>IF(Teacher_Data[[#This Row],[Completion_Status]]="Completed",1,0)</f>
        <v>1</v>
      </c>
      <c r="W418">
        <f>1</f>
        <v>1</v>
      </c>
      <c r="X418">
        <f>Teacher_Data[[#This Row],[End_Date]]-Teacher_Data[[#This Row],[Start_Date]]</f>
        <v>33</v>
      </c>
      <c r="Y418" t="str">
        <f>_xlfn.IFS(Teacher_Data[[#This Row],[Experience_Years]]&lt;=5,"0-5 Years",Teacher_Data[[#This Row],[Experience_Years]]&lt;=10,"5-10 Years",Teacher_Data[[#This Row],[Experience_Years]]&lt;=20,"11-20 Years",TRUE,"20+ Years")</f>
        <v>11-20 Years</v>
      </c>
    </row>
    <row r="419" spans="1:25" x14ac:dyDescent="0.3">
      <c r="A419" t="s">
        <v>931</v>
      </c>
      <c r="B419" t="s">
        <v>44</v>
      </c>
      <c r="C419" t="s">
        <v>35</v>
      </c>
      <c r="D419">
        <v>48</v>
      </c>
      <c r="E419" t="s">
        <v>23</v>
      </c>
      <c r="F419" t="s">
        <v>24</v>
      </c>
      <c r="G419" t="s">
        <v>38</v>
      </c>
      <c r="H419" t="s">
        <v>50</v>
      </c>
      <c r="I419" t="s">
        <v>46</v>
      </c>
      <c r="J419" s="1">
        <v>45557</v>
      </c>
      <c r="K419" s="1">
        <v>45569</v>
      </c>
      <c r="L419" t="s">
        <v>52</v>
      </c>
      <c r="M419" s="2">
        <v>59</v>
      </c>
      <c r="N419">
        <v>57</v>
      </c>
      <c r="O419" t="s">
        <v>53</v>
      </c>
      <c r="P419">
        <v>49</v>
      </c>
      <c r="Q419" t="s">
        <v>40</v>
      </c>
      <c r="R419" t="s">
        <v>31</v>
      </c>
      <c r="S419" t="s">
        <v>932</v>
      </c>
      <c r="T419">
        <v>27</v>
      </c>
      <c r="U419" t="str">
        <f>IF(Teacher_Data[[#This Row],[Completion_Status]]="Completed","Yes","No")</f>
        <v>Yes</v>
      </c>
      <c r="V419">
        <f>IF(Teacher_Data[[#This Row],[Completion_Status]]="Completed",1,0)</f>
        <v>1</v>
      </c>
      <c r="W419">
        <f>1</f>
        <v>1</v>
      </c>
      <c r="X419">
        <f>Teacher_Data[[#This Row],[End_Date]]-Teacher_Data[[#This Row],[Start_Date]]</f>
        <v>12</v>
      </c>
      <c r="Y419" t="str">
        <f>_xlfn.IFS(Teacher_Data[[#This Row],[Experience_Years]]&lt;=5,"0-5 Years",Teacher_Data[[#This Row],[Experience_Years]]&lt;=10,"5-10 Years",Teacher_Data[[#This Row],[Experience_Years]]&lt;=20,"11-20 Years",TRUE,"20+ Years")</f>
        <v>20+ Years</v>
      </c>
    </row>
    <row r="420" spans="1:25" x14ac:dyDescent="0.3">
      <c r="A420" t="s">
        <v>933</v>
      </c>
      <c r="B420" t="s">
        <v>118</v>
      </c>
      <c r="C420" t="s">
        <v>22</v>
      </c>
      <c r="D420">
        <v>56</v>
      </c>
      <c r="E420" t="s">
        <v>23</v>
      </c>
      <c r="F420" t="s">
        <v>37</v>
      </c>
      <c r="G420" t="s">
        <v>58</v>
      </c>
      <c r="H420" t="s">
        <v>26</v>
      </c>
      <c r="I420" t="s">
        <v>27</v>
      </c>
      <c r="J420" s="1">
        <v>45463</v>
      </c>
      <c r="K420" s="1">
        <v>45490</v>
      </c>
      <c r="L420" t="s">
        <v>60</v>
      </c>
      <c r="M420" s="2">
        <v>21</v>
      </c>
      <c r="O420" t="s">
        <v>29</v>
      </c>
      <c r="P420">
        <v>24</v>
      </c>
      <c r="Q420" t="s">
        <v>40</v>
      </c>
      <c r="R420" t="s">
        <v>72</v>
      </c>
      <c r="S420" t="s">
        <v>934</v>
      </c>
      <c r="T420">
        <v>34</v>
      </c>
      <c r="U420" t="str">
        <f>IF(Teacher_Data[[#This Row],[Completion_Status]]="Completed","Yes","No")</f>
        <v>No</v>
      </c>
      <c r="V420">
        <f>IF(Teacher_Data[[#This Row],[Completion_Status]]="Completed",1,0)</f>
        <v>0</v>
      </c>
      <c r="W420">
        <f>1</f>
        <v>1</v>
      </c>
      <c r="X420">
        <f>Teacher_Data[[#This Row],[End_Date]]-Teacher_Data[[#This Row],[Start_Date]]</f>
        <v>27</v>
      </c>
      <c r="Y420" t="str">
        <f>_xlfn.IFS(Teacher_Data[[#This Row],[Experience_Years]]&lt;=5,"0-5 Years",Teacher_Data[[#This Row],[Experience_Years]]&lt;=10,"5-10 Years",Teacher_Data[[#This Row],[Experience_Years]]&lt;=20,"11-20 Years",TRUE,"20+ Years")</f>
        <v>20+ Years</v>
      </c>
    </row>
    <row r="421" spans="1:25" x14ac:dyDescent="0.3">
      <c r="A421" t="s">
        <v>935</v>
      </c>
      <c r="B421" t="s">
        <v>140</v>
      </c>
      <c r="C421" t="s">
        <v>22</v>
      </c>
      <c r="D421">
        <v>28</v>
      </c>
      <c r="E421" t="s">
        <v>23</v>
      </c>
      <c r="F421" t="s">
        <v>100</v>
      </c>
      <c r="G421" t="s">
        <v>45</v>
      </c>
      <c r="H421" t="s">
        <v>59</v>
      </c>
      <c r="I421" t="s">
        <v>27</v>
      </c>
      <c r="J421" s="1">
        <v>45542</v>
      </c>
      <c r="K421" s="1">
        <v>45589</v>
      </c>
      <c r="L421" t="s">
        <v>52</v>
      </c>
      <c r="M421" s="2">
        <v>89</v>
      </c>
      <c r="N421">
        <v>57</v>
      </c>
      <c r="O421" t="s">
        <v>53</v>
      </c>
      <c r="P421">
        <v>43</v>
      </c>
      <c r="Q421" t="s">
        <v>61</v>
      </c>
      <c r="R421" t="s">
        <v>62</v>
      </c>
      <c r="S421" t="s">
        <v>936</v>
      </c>
      <c r="T421">
        <v>23</v>
      </c>
      <c r="U421" t="str">
        <f>IF(Teacher_Data[[#This Row],[Completion_Status]]="Completed","Yes","No")</f>
        <v>Yes</v>
      </c>
      <c r="V421">
        <f>IF(Teacher_Data[[#This Row],[Completion_Status]]="Completed",1,0)</f>
        <v>1</v>
      </c>
      <c r="W421">
        <f>1</f>
        <v>1</v>
      </c>
      <c r="X421">
        <f>Teacher_Data[[#This Row],[End_Date]]-Teacher_Data[[#This Row],[Start_Date]]</f>
        <v>47</v>
      </c>
      <c r="Y421" t="str">
        <f>_xlfn.IFS(Teacher_Data[[#This Row],[Experience_Years]]&lt;=5,"0-5 Years",Teacher_Data[[#This Row],[Experience_Years]]&lt;=10,"5-10 Years",Teacher_Data[[#This Row],[Experience_Years]]&lt;=20,"11-20 Years",TRUE,"20+ Years")</f>
        <v>20+ Years</v>
      </c>
    </row>
    <row r="422" spans="1:25" x14ac:dyDescent="0.3">
      <c r="A422" t="s">
        <v>937</v>
      </c>
      <c r="B422" t="s">
        <v>308</v>
      </c>
      <c r="C422" t="s">
        <v>35</v>
      </c>
      <c r="D422">
        <v>53</v>
      </c>
      <c r="E422" t="s">
        <v>23</v>
      </c>
      <c r="F422" t="s">
        <v>24</v>
      </c>
      <c r="G422" t="s">
        <v>76</v>
      </c>
      <c r="H422" t="s">
        <v>39</v>
      </c>
      <c r="I422" t="s">
        <v>46</v>
      </c>
      <c r="J422" s="1">
        <v>45326</v>
      </c>
      <c r="K422" s="1">
        <v>45354</v>
      </c>
      <c r="L422" t="s">
        <v>52</v>
      </c>
      <c r="M422" s="2">
        <v>53</v>
      </c>
      <c r="N422">
        <v>58</v>
      </c>
      <c r="O422" t="s">
        <v>53</v>
      </c>
      <c r="P422">
        <v>59</v>
      </c>
      <c r="Q422" t="s">
        <v>40</v>
      </c>
      <c r="R422" t="s">
        <v>62</v>
      </c>
      <c r="S422" t="s">
        <v>938</v>
      </c>
      <c r="T422">
        <v>7</v>
      </c>
      <c r="U422" t="str">
        <f>IF(Teacher_Data[[#This Row],[Completion_Status]]="Completed","Yes","No")</f>
        <v>Yes</v>
      </c>
      <c r="V422">
        <f>IF(Teacher_Data[[#This Row],[Completion_Status]]="Completed",1,0)</f>
        <v>1</v>
      </c>
      <c r="W422">
        <f>1</f>
        <v>1</v>
      </c>
      <c r="X422">
        <f>Teacher_Data[[#This Row],[End_Date]]-Teacher_Data[[#This Row],[Start_Date]]</f>
        <v>28</v>
      </c>
      <c r="Y422" t="str">
        <f>_xlfn.IFS(Teacher_Data[[#This Row],[Experience_Years]]&lt;=5,"0-5 Years",Teacher_Data[[#This Row],[Experience_Years]]&lt;=10,"5-10 Years",Teacher_Data[[#This Row],[Experience_Years]]&lt;=20,"11-20 Years",TRUE,"20+ Years")</f>
        <v>5-10 Years</v>
      </c>
    </row>
    <row r="423" spans="1:25" x14ac:dyDescent="0.3">
      <c r="A423" t="s">
        <v>939</v>
      </c>
      <c r="B423" t="s">
        <v>214</v>
      </c>
      <c r="C423" t="s">
        <v>35</v>
      </c>
      <c r="D423">
        <v>28</v>
      </c>
      <c r="E423" t="s">
        <v>57</v>
      </c>
      <c r="F423" t="s">
        <v>100</v>
      </c>
      <c r="G423" t="s">
        <v>45</v>
      </c>
      <c r="H423" t="s">
        <v>26</v>
      </c>
      <c r="I423" t="s">
        <v>27</v>
      </c>
      <c r="J423" s="1">
        <v>45347</v>
      </c>
      <c r="K423" s="1">
        <v>45361</v>
      </c>
      <c r="L423" t="s">
        <v>60</v>
      </c>
      <c r="M423" s="2">
        <v>40</v>
      </c>
      <c r="O423" t="s">
        <v>29</v>
      </c>
      <c r="P423">
        <v>41</v>
      </c>
      <c r="Q423" t="s">
        <v>40</v>
      </c>
      <c r="R423" t="s">
        <v>72</v>
      </c>
      <c r="S423" t="s">
        <v>940</v>
      </c>
      <c r="T423">
        <v>12</v>
      </c>
      <c r="U423" t="str">
        <f>IF(Teacher_Data[[#This Row],[Completion_Status]]="Completed","Yes","No")</f>
        <v>No</v>
      </c>
      <c r="V423">
        <f>IF(Teacher_Data[[#This Row],[Completion_Status]]="Completed",1,0)</f>
        <v>0</v>
      </c>
      <c r="W423">
        <f>1</f>
        <v>1</v>
      </c>
      <c r="X423">
        <f>Teacher_Data[[#This Row],[End_Date]]-Teacher_Data[[#This Row],[Start_Date]]</f>
        <v>14</v>
      </c>
      <c r="Y423" t="str">
        <f>_xlfn.IFS(Teacher_Data[[#This Row],[Experience_Years]]&lt;=5,"0-5 Years",Teacher_Data[[#This Row],[Experience_Years]]&lt;=10,"5-10 Years",Teacher_Data[[#This Row],[Experience_Years]]&lt;=20,"11-20 Years",TRUE,"20+ Years")</f>
        <v>11-20 Years</v>
      </c>
    </row>
    <row r="424" spans="1:25" x14ac:dyDescent="0.3">
      <c r="A424" t="s">
        <v>941</v>
      </c>
      <c r="B424" t="s">
        <v>229</v>
      </c>
      <c r="C424" t="s">
        <v>22</v>
      </c>
      <c r="D424">
        <v>30</v>
      </c>
      <c r="E424" t="s">
        <v>57</v>
      </c>
      <c r="F424" t="s">
        <v>67</v>
      </c>
      <c r="G424" t="s">
        <v>76</v>
      </c>
      <c r="H424" t="s">
        <v>39</v>
      </c>
      <c r="I424" t="s">
        <v>51</v>
      </c>
      <c r="J424" s="1">
        <v>45331</v>
      </c>
      <c r="K424" s="1">
        <v>45347</v>
      </c>
      <c r="L424" t="s">
        <v>28</v>
      </c>
      <c r="M424" s="2">
        <v>69</v>
      </c>
      <c r="O424" t="s">
        <v>29</v>
      </c>
      <c r="P424">
        <v>53</v>
      </c>
      <c r="Q424" t="s">
        <v>40</v>
      </c>
      <c r="R424" t="s">
        <v>41</v>
      </c>
      <c r="S424" t="s">
        <v>942</v>
      </c>
      <c r="T424">
        <v>4</v>
      </c>
      <c r="U424" t="str">
        <f>IF(Teacher_Data[[#This Row],[Completion_Status]]="Completed","Yes","No")</f>
        <v>No</v>
      </c>
      <c r="V424">
        <f>IF(Teacher_Data[[#This Row],[Completion_Status]]="Completed",1,0)</f>
        <v>0</v>
      </c>
      <c r="W424">
        <f>1</f>
        <v>1</v>
      </c>
      <c r="X424">
        <f>Teacher_Data[[#This Row],[End_Date]]-Teacher_Data[[#This Row],[Start_Date]]</f>
        <v>16</v>
      </c>
      <c r="Y424" t="str">
        <f>_xlfn.IFS(Teacher_Data[[#This Row],[Experience_Years]]&lt;=5,"0-5 Years",Teacher_Data[[#This Row],[Experience_Years]]&lt;=10,"5-10 Years",Teacher_Data[[#This Row],[Experience_Years]]&lt;=20,"11-20 Years",TRUE,"20+ Years")</f>
        <v>0-5 Years</v>
      </c>
    </row>
    <row r="425" spans="1:25" x14ac:dyDescent="0.3">
      <c r="A425" t="s">
        <v>943</v>
      </c>
      <c r="B425" t="s">
        <v>121</v>
      </c>
      <c r="C425" t="s">
        <v>35</v>
      </c>
      <c r="D425">
        <v>29</v>
      </c>
      <c r="E425" t="s">
        <v>36</v>
      </c>
      <c r="F425" t="s">
        <v>100</v>
      </c>
      <c r="G425" t="s">
        <v>45</v>
      </c>
      <c r="H425" t="s">
        <v>59</v>
      </c>
      <c r="I425" t="s">
        <v>27</v>
      </c>
      <c r="J425" s="1">
        <v>45414</v>
      </c>
      <c r="K425" s="1">
        <v>45473</v>
      </c>
      <c r="L425" t="s">
        <v>52</v>
      </c>
      <c r="M425" s="2">
        <v>48</v>
      </c>
      <c r="N425">
        <v>77</v>
      </c>
      <c r="O425" t="s">
        <v>53</v>
      </c>
      <c r="P425">
        <v>14</v>
      </c>
      <c r="Q425" t="s">
        <v>40</v>
      </c>
      <c r="R425" t="s">
        <v>72</v>
      </c>
      <c r="S425" t="s">
        <v>944</v>
      </c>
      <c r="T425">
        <v>12</v>
      </c>
      <c r="U425" t="str">
        <f>IF(Teacher_Data[[#This Row],[Completion_Status]]="Completed","Yes","No")</f>
        <v>Yes</v>
      </c>
      <c r="V425">
        <f>IF(Teacher_Data[[#This Row],[Completion_Status]]="Completed",1,0)</f>
        <v>1</v>
      </c>
      <c r="W425">
        <f>1</f>
        <v>1</v>
      </c>
      <c r="X425">
        <f>Teacher_Data[[#This Row],[End_Date]]-Teacher_Data[[#This Row],[Start_Date]]</f>
        <v>59</v>
      </c>
      <c r="Y425" t="str">
        <f>_xlfn.IFS(Teacher_Data[[#This Row],[Experience_Years]]&lt;=5,"0-5 Years",Teacher_Data[[#This Row],[Experience_Years]]&lt;=10,"5-10 Years",Teacher_Data[[#This Row],[Experience_Years]]&lt;=20,"11-20 Years",TRUE,"20+ Years")</f>
        <v>11-20 Years</v>
      </c>
    </row>
    <row r="426" spans="1:25" x14ac:dyDescent="0.3">
      <c r="A426" t="s">
        <v>945</v>
      </c>
      <c r="B426" t="s">
        <v>110</v>
      </c>
      <c r="C426" t="s">
        <v>22</v>
      </c>
      <c r="D426">
        <v>24</v>
      </c>
      <c r="E426" t="s">
        <v>36</v>
      </c>
      <c r="F426" t="s">
        <v>100</v>
      </c>
      <c r="G426" t="s">
        <v>76</v>
      </c>
      <c r="H426" t="s">
        <v>39</v>
      </c>
      <c r="I426" t="s">
        <v>51</v>
      </c>
      <c r="J426" s="1">
        <v>45375</v>
      </c>
      <c r="K426" s="1">
        <v>45431</v>
      </c>
      <c r="L426" t="s">
        <v>28</v>
      </c>
      <c r="M426" s="2">
        <v>65</v>
      </c>
      <c r="O426" t="s">
        <v>29</v>
      </c>
      <c r="P426">
        <v>24</v>
      </c>
      <c r="Q426" t="s">
        <v>40</v>
      </c>
      <c r="R426" t="s">
        <v>31</v>
      </c>
      <c r="S426" t="s">
        <v>946</v>
      </c>
      <c r="T426">
        <v>14</v>
      </c>
      <c r="U426" t="str">
        <f>IF(Teacher_Data[[#This Row],[Completion_Status]]="Completed","Yes","No")</f>
        <v>No</v>
      </c>
      <c r="V426">
        <f>IF(Teacher_Data[[#This Row],[Completion_Status]]="Completed",1,0)</f>
        <v>0</v>
      </c>
      <c r="W426">
        <f>1</f>
        <v>1</v>
      </c>
      <c r="X426">
        <f>Teacher_Data[[#This Row],[End_Date]]-Teacher_Data[[#This Row],[Start_Date]]</f>
        <v>56</v>
      </c>
      <c r="Y426" t="str">
        <f>_xlfn.IFS(Teacher_Data[[#This Row],[Experience_Years]]&lt;=5,"0-5 Years",Teacher_Data[[#This Row],[Experience_Years]]&lt;=10,"5-10 Years",Teacher_Data[[#This Row],[Experience_Years]]&lt;=20,"11-20 Years",TRUE,"20+ Years")</f>
        <v>11-20 Years</v>
      </c>
    </row>
    <row r="427" spans="1:25" x14ac:dyDescent="0.3">
      <c r="A427" t="s">
        <v>947</v>
      </c>
      <c r="B427" t="s">
        <v>124</v>
      </c>
      <c r="C427" t="s">
        <v>22</v>
      </c>
      <c r="D427">
        <v>32</v>
      </c>
      <c r="E427" t="s">
        <v>57</v>
      </c>
      <c r="F427" t="s">
        <v>83</v>
      </c>
      <c r="G427" t="s">
        <v>76</v>
      </c>
      <c r="H427" t="s">
        <v>59</v>
      </c>
      <c r="I427" t="s">
        <v>51</v>
      </c>
      <c r="J427" s="1">
        <v>45443</v>
      </c>
      <c r="K427" s="1">
        <v>45465</v>
      </c>
      <c r="L427" t="s">
        <v>60</v>
      </c>
      <c r="M427" s="2">
        <v>14</v>
      </c>
      <c r="O427" t="s">
        <v>29</v>
      </c>
      <c r="P427">
        <v>24</v>
      </c>
      <c r="Q427" t="s">
        <v>68</v>
      </c>
      <c r="R427" t="s">
        <v>62</v>
      </c>
      <c r="S427" t="s">
        <v>948</v>
      </c>
      <c r="T427">
        <v>29</v>
      </c>
      <c r="U427" t="str">
        <f>IF(Teacher_Data[[#This Row],[Completion_Status]]="Completed","Yes","No")</f>
        <v>No</v>
      </c>
      <c r="V427">
        <f>IF(Teacher_Data[[#This Row],[Completion_Status]]="Completed",1,0)</f>
        <v>0</v>
      </c>
      <c r="W427">
        <f>1</f>
        <v>1</v>
      </c>
      <c r="X427">
        <f>Teacher_Data[[#This Row],[End_Date]]-Teacher_Data[[#This Row],[Start_Date]]</f>
        <v>22</v>
      </c>
      <c r="Y427" t="str">
        <f>_xlfn.IFS(Teacher_Data[[#This Row],[Experience_Years]]&lt;=5,"0-5 Years",Teacher_Data[[#This Row],[Experience_Years]]&lt;=10,"5-10 Years",Teacher_Data[[#This Row],[Experience_Years]]&lt;=20,"11-20 Years",TRUE,"20+ Years")</f>
        <v>20+ Years</v>
      </c>
    </row>
    <row r="428" spans="1:25" x14ac:dyDescent="0.3">
      <c r="A428" t="s">
        <v>949</v>
      </c>
      <c r="B428" t="s">
        <v>21</v>
      </c>
      <c r="C428" t="s">
        <v>22</v>
      </c>
      <c r="D428">
        <v>38</v>
      </c>
      <c r="E428" t="s">
        <v>57</v>
      </c>
      <c r="F428" t="s">
        <v>67</v>
      </c>
      <c r="G428" t="s">
        <v>58</v>
      </c>
      <c r="H428" t="s">
        <v>39</v>
      </c>
      <c r="I428" t="s">
        <v>27</v>
      </c>
      <c r="J428" s="1">
        <v>45449</v>
      </c>
      <c r="K428" s="1">
        <v>45468</v>
      </c>
      <c r="L428" t="s">
        <v>28</v>
      </c>
      <c r="M428" s="2">
        <v>42</v>
      </c>
      <c r="O428" t="s">
        <v>29</v>
      </c>
      <c r="P428">
        <v>36</v>
      </c>
      <c r="Q428" t="s">
        <v>68</v>
      </c>
      <c r="R428" t="s">
        <v>104</v>
      </c>
      <c r="S428" t="s">
        <v>950</v>
      </c>
      <c r="T428">
        <v>10</v>
      </c>
      <c r="U428" t="str">
        <f>IF(Teacher_Data[[#This Row],[Completion_Status]]="Completed","Yes","No")</f>
        <v>No</v>
      </c>
      <c r="V428">
        <f>IF(Teacher_Data[[#This Row],[Completion_Status]]="Completed",1,0)</f>
        <v>0</v>
      </c>
      <c r="W428">
        <f>1</f>
        <v>1</v>
      </c>
      <c r="X428">
        <f>Teacher_Data[[#This Row],[End_Date]]-Teacher_Data[[#This Row],[Start_Date]]</f>
        <v>19</v>
      </c>
      <c r="Y428" t="str">
        <f>_xlfn.IFS(Teacher_Data[[#This Row],[Experience_Years]]&lt;=5,"0-5 Years",Teacher_Data[[#This Row],[Experience_Years]]&lt;=10,"5-10 Years",Teacher_Data[[#This Row],[Experience_Years]]&lt;=20,"11-20 Years",TRUE,"20+ Years")</f>
        <v>5-10 Years</v>
      </c>
    </row>
    <row r="429" spans="1:25" x14ac:dyDescent="0.3">
      <c r="A429" t="s">
        <v>951</v>
      </c>
      <c r="B429" t="s">
        <v>21</v>
      </c>
      <c r="C429" t="s">
        <v>35</v>
      </c>
      <c r="D429">
        <v>55</v>
      </c>
      <c r="E429" t="s">
        <v>36</v>
      </c>
      <c r="F429" t="s">
        <v>100</v>
      </c>
      <c r="G429" t="s">
        <v>76</v>
      </c>
      <c r="H429" t="s">
        <v>50</v>
      </c>
      <c r="I429" t="s">
        <v>27</v>
      </c>
      <c r="J429" s="1">
        <v>45528</v>
      </c>
      <c r="K429" s="1">
        <v>45564</v>
      </c>
      <c r="L429" t="s">
        <v>60</v>
      </c>
      <c r="M429" s="2">
        <v>31</v>
      </c>
      <c r="O429" t="s">
        <v>29</v>
      </c>
      <c r="P429">
        <v>33</v>
      </c>
      <c r="Q429" t="s">
        <v>40</v>
      </c>
      <c r="R429" t="s">
        <v>31</v>
      </c>
      <c r="S429" t="s">
        <v>952</v>
      </c>
      <c r="T429">
        <v>32</v>
      </c>
      <c r="U429" t="str">
        <f>IF(Teacher_Data[[#This Row],[Completion_Status]]="Completed","Yes","No")</f>
        <v>No</v>
      </c>
      <c r="V429">
        <f>IF(Teacher_Data[[#This Row],[Completion_Status]]="Completed",1,0)</f>
        <v>0</v>
      </c>
      <c r="W429">
        <f>1</f>
        <v>1</v>
      </c>
      <c r="X429">
        <f>Teacher_Data[[#This Row],[End_Date]]-Teacher_Data[[#This Row],[Start_Date]]</f>
        <v>36</v>
      </c>
      <c r="Y429" t="str">
        <f>_xlfn.IFS(Teacher_Data[[#This Row],[Experience_Years]]&lt;=5,"0-5 Years",Teacher_Data[[#This Row],[Experience_Years]]&lt;=10,"5-10 Years",Teacher_Data[[#This Row],[Experience_Years]]&lt;=20,"11-20 Years",TRUE,"20+ Years")</f>
        <v>20+ Years</v>
      </c>
    </row>
    <row r="430" spans="1:25" x14ac:dyDescent="0.3">
      <c r="A430" t="s">
        <v>953</v>
      </c>
      <c r="B430" t="s">
        <v>89</v>
      </c>
      <c r="C430" t="s">
        <v>35</v>
      </c>
      <c r="D430">
        <v>55</v>
      </c>
      <c r="E430" t="s">
        <v>57</v>
      </c>
      <c r="F430" t="s">
        <v>83</v>
      </c>
      <c r="G430" t="s">
        <v>76</v>
      </c>
      <c r="H430" t="s">
        <v>50</v>
      </c>
      <c r="I430" t="s">
        <v>46</v>
      </c>
      <c r="J430" s="1">
        <v>45361</v>
      </c>
      <c r="K430" s="1">
        <v>45377</v>
      </c>
      <c r="L430" t="s">
        <v>52</v>
      </c>
      <c r="M430" s="2">
        <v>54</v>
      </c>
      <c r="N430">
        <v>67</v>
      </c>
      <c r="O430" t="s">
        <v>53</v>
      </c>
      <c r="P430">
        <v>39</v>
      </c>
      <c r="Q430" t="s">
        <v>68</v>
      </c>
      <c r="R430" t="s">
        <v>62</v>
      </c>
      <c r="S430" t="s">
        <v>954</v>
      </c>
      <c r="T430">
        <v>12</v>
      </c>
      <c r="U430" t="str">
        <f>IF(Teacher_Data[[#This Row],[Completion_Status]]="Completed","Yes","No")</f>
        <v>Yes</v>
      </c>
      <c r="V430">
        <f>IF(Teacher_Data[[#This Row],[Completion_Status]]="Completed",1,0)</f>
        <v>1</v>
      </c>
      <c r="W430">
        <f>1</f>
        <v>1</v>
      </c>
      <c r="X430">
        <f>Teacher_Data[[#This Row],[End_Date]]-Teacher_Data[[#This Row],[Start_Date]]</f>
        <v>16</v>
      </c>
      <c r="Y430" t="str">
        <f>_xlfn.IFS(Teacher_Data[[#This Row],[Experience_Years]]&lt;=5,"0-5 Years",Teacher_Data[[#This Row],[Experience_Years]]&lt;=10,"5-10 Years",Teacher_Data[[#This Row],[Experience_Years]]&lt;=20,"11-20 Years",TRUE,"20+ Years")</f>
        <v>11-20 Years</v>
      </c>
    </row>
    <row r="431" spans="1:25" x14ac:dyDescent="0.3">
      <c r="A431" t="s">
        <v>955</v>
      </c>
      <c r="B431" t="s">
        <v>118</v>
      </c>
      <c r="C431" t="s">
        <v>35</v>
      </c>
      <c r="D431">
        <v>50</v>
      </c>
      <c r="E431" t="s">
        <v>57</v>
      </c>
      <c r="F431" t="s">
        <v>67</v>
      </c>
      <c r="G431" t="s">
        <v>58</v>
      </c>
      <c r="H431" t="s">
        <v>50</v>
      </c>
      <c r="I431" t="s">
        <v>51</v>
      </c>
      <c r="J431" s="1">
        <v>45349</v>
      </c>
      <c r="K431" s="1">
        <v>45385</v>
      </c>
      <c r="L431" t="s">
        <v>52</v>
      </c>
      <c r="M431" s="2">
        <v>88</v>
      </c>
      <c r="N431">
        <v>78</v>
      </c>
      <c r="O431" t="s">
        <v>53</v>
      </c>
      <c r="P431">
        <v>46</v>
      </c>
      <c r="Q431" t="s">
        <v>61</v>
      </c>
      <c r="R431" t="s">
        <v>41</v>
      </c>
      <c r="S431" t="s">
        <v>956</v>
      </c>
      <c r="T431">
        <v>29</v>
      </c>
      <c r="U431" t="str">
        <f>IF(Teacher_Data[[#This Row],[Completion_Status]]="Completed","Yes","No")</f>
        <v>Yes</v>
      </c>
      <c r="V431">
        <f>IF(Teacher_Data[[#This Row],[Completion_Status]]="Completed",1,0)</f>
        <v>1</v>
      </c>
      <c r="W431">
        <f>1</f>
        <v>1</v>
      </c>
      <c r="X431">
        <f>Teacher_Data[[#This Row],[End_Date]]-Teacher_Data[[#This Row],[Start_Date]]</f>
        <v>36</v>
      </c>
      <c r="Y431" t="str">
        <f>_xlfn.IFS(Teacher_Data[[#This Row],[Experience_Years]]&lt;=5,"0-5 Years",Teacher_Data[[#This Row],[Experience_Years]]&lt;=10,"5-10 Years",Teacher_Data[[#This Row],[Experience_Years]]&lt;=20,"11-20 Years",TRUE,"20+ Years")</f>
        <v>20+ Years</v>
      </c>
    </row>
    <row r="432" spans="1:25" x14ac:dyDescent="0.3">
      <c r="A432" t="s">
        <v>957</v>
      </c>
      <c r="B432" t="s">
        <v>124</v>
      </c>
      <c r="C432" t="s">
        <v>22</v>
      </c>
      <c r="D432">
        <v>48</v>
      </c>
      <c r="E432" t="s">
        <v>23</v>
      </c>
      <c r="F432" t="s">
        <v>37</v>
      </c>
      <c r="G432" t="s">
        <v>58</v>
      </c>
      <c r="H432" t="s">
        <v>39</v>
      </c>
      <c r="I432" t="s">
        <v>46</v>
      </c>
      <c r="J432" s="1">
        <v>45576</v>
      </c>
      <c r="K432" s="1">
        <v>45636</v>
      </c>
      <c r="L432" t="s">
        <v>28</v>
      </c>
      <c r="M432" s="2">
        <v>40</v>
      </c>
      <c r="O432" t="s">
        <v>29</v>
      </c>
      <c r="P432">
        <v>57</v>
      </c>
      <c r="Q432" t="s">
        <v>61</v>
      </c>
      <c r="R432" t="s">
        <v>62</v>
      </c>
      <c r="S432" t="s">
        <v>958</v>
      </c>
      <c r="T432">
        <v>26</v>
      </c>
      <c r="U432" t="str">
        <f>IF(Teacher_Data[[#This Row],[Completion_Status]]="Completed","Yes","No")</f>
        <v>No</v>
      </c>
      <c r="V432">
        <f>IF(Teacher_Data[[#This Row],[Completion_Status]]="Completed",1,0)</f>
        <v>0</v>
      </c>
      <c r="W432">
        <f>1</f>
        <v>1</v>
      </c>
      <c r="X432">
        <f>Teacher_Data[[#This Row],[End_Date]]-Teacher_Data[[#This Row],[Start_Date]]</f>
        <v>60</v>
      </c>
      <c r="Y432" t="str">
        <f>_xlfn.IFS(Teacher_Data[[#This Row],[Experience_Years]]&lt;=5,"0-5 Years",Teacher_Data[[#This Row],[Experience_Years]]&lt;=10,"5-10 Years",Teacher_Data[[#This Row],[Experience_Years]]&lt;=20,"11-20 Years",TRUE,"20+ Years")</f>
        <v>20+ Years</v>
      </c>
    </row>
    <row r="433" spans="1:25" x14ac:dyDescent="0.3">
      <c r="A433" t="s">
        <v>959</v>
      </c>
      <c r="B433" t="s">
        <v>56</v>
      </c>
      <c r="C433" t="s">
        <v>35</v>
      </c>
      <c r="D433">
        <v>30</v>
      </c>
      <c r="E433" t="s">
        <v>66</v>
      </c>
      <c r="F433" t="s">
        <v>67</v>
      </c>
      <c r="G433" t="s">
        <v>25</v>
      </c>
      <c r="H433" t="s">
        <v>59</v>
      </c>
      <c r="I433" t="s">
        <v>27</v>
      </c>
      <c r="J433" s="1">
        <v>45310</v>
      </c>
      <c r="K433" s="1">
        <v>45370</v>
      </c>
      <c r="L433" t="s">
        <v>52</v>
      </c>
      <c r="M433" s="2">
        <v>95</v>
      </c>
      <c r="N433">
        <v>58</v>
      </c>
      <c r="O433" t="s">
        <v>53</v>
      </c>
      <c r="P433">
        <v>32</v>
      </c>
      <c r="Q433" t="s">
        <v>30</v>
      </c>
      <c r="R433" t="s">
        <v>72</v>
      </c>
      <c r="S433" t="s">
        <v>960</v>
      </c>
      <c r="T433">
        <v>8</v>
      </c>
      <c r="U433" t="str">
        <f>IF(Teacher_Data[[#This Row],[Completion_Status]]="Completed","Yes","No")</f>
        <v>Yes</v>
      </c>
      <c r="V433">
        <f>IF(Teacher_Data[[#This Row],[Completion_Status]]="Completed",1,0)</f>
        <v>1</v>
      </c>
      <c r="W433">
        <f>1</f>
        <v>1</v>
      </c>
      <c r="X433">
        <f>Teacher_Data[[#This Row],[End_Date]]-Teacher_Data[[#This Row],[Start_Date]]</f>
        <v>60</v>
      </c>
      <c r="Y433" t="str">
        <f>_xlfn.IFS(Teacher_Data[[#This Row],[Experience_Years]]&lt;=5,"0-5 Years",Teacher_Data[[#This Row],[Experience_Years]]&lt;=10,"5-10 Years",Teacher_Data[[#This Row],[Experience_Years]]&lt;=20,"11-20 Years",TRUE,"20+ Years")</f>
        <v>5-10 Years</v>
      </c>
    </row>
    <row r="434" spans="1:25" x14ac:dyDescent="0.3">
      <c r="A434" t="s">
        <v>961</v>
      </c>
      <c r="B434" t="s">
        <v>214</v>
      </c>
      <c r="C434" t="s">
        <v>35</v>
      </c>
      <c r="D434">
        <v>30</v>
      </c>
      <c r="E434" t="s">
        <v>23</v>
      </c>
      <c r="F434" t="s">
        <v>24</v>
      </c>
      <c r="G434" t="s">
        <v>58</v>
      </c>
      <c r="H434" t="s">
        <v>50</v>
      </c>
      <c r="I434" t="s">
        <v>46</v>
      </c>
      <c r="J434" s="1">
        <v>45499</v>
      </c>
      <c r="K434" s="1">
        <v>45532</v>
      </c>
      <c r="L434" t="s">
        <v>28</v>
      </c>
      <c r="M434" s="2">
        <v>69</v>
      </c>
      <c r="O434" t="s">
        <v>29</v>
      </c>
      <c r="P434">
        <v>24</v>
      </c>
      <c r="Q434" t="s">
        <v>68</v>
      </c>
      <c r="R434" t="s">
        <v>62</v>
      </c>
      <c r="S434" t="s">
        <v>962</v>
      </c>
      <c r="T434">
        <v>3</v>
      </c>
      <c r="U434" t="str">
        <f>IF(Teacher_Data[[#This Row],[Completion_Status]]="Completed","Yes","No")</f>
        <v>No</v>
      </c>
      <c r="V434">
        <f>IF(Teacher_Data[[#This Row],[Completion_Status]]="Completed",1,0)</f>
        <v>0</v>
      </c>
      <c r="W434">
        <f>1</f>
        <v>1</v>
      </c>
      <c r="X434">
        <f>Teacher_Data[[#This Row],[End_Date]]-Teacher_Data[[#This Row],[Start_Date]]</f>
        <v>33</v>
      </c>
      <c r="Y434" t="str">
        <f>_xlfn.IFS(Teacher_Data[[#This Row],[Experience_Years]]&lt;=5,"0-5 Years",Teacher_Data[[#This Row],[Experience_Years]]&lt;=10,"5-10 Years",Teacher_Data[[#This Row],[Experience_Years]]&lt;=20,"11-20 Years",TRUE,"20+ Years")</f>
        <v>0-5 Years</v>
      </c>
    </row>
    <row r="435" spans="1:25" x14ac:dyDescent="0.3">
      <c r="A435" t="s">
        <v>963</v>
      </c>
      <c r="B435" t="s">
        <v>21</v>
      </c>
      <c r="C435" t="s">
        <v>35</v>
      </c>
      <c r="D435">
        <v>43</v>
      </c>
      <c r="E435" t="s">
        <v>36</v>
      </c>
      <c r="F435" t="s">
        <v>67</v>
      </c>
      <c r="G435" t="s">
        <v>58</v>
      </c>
      <c r="H435" t="s">
        <v>50</v>
      </c>
      <c r="I435" t="s">
        <v>46</v>
      </c>
      <c r="J435" s="1">
        <v>45551</v>
      </c>
      <c r="K435" s="1">
        <v>45608</v>
      </c>
      <c r="L435" t="s">
        <v>60</v>
      </c>
      <c r="M435" s="2">
        <v>17</v>
      </c>
      <c r="O435" t="s">
        <v>29</v>
      </c>
      <c r="P435">
        <v>17</v>
      </c>
      <c r="Q435" t="s">
        <v>40</v>
      </c>
      <c r="R435" t="s">
        <v>62</v>
      </c>
      <c r="S435" t="s">
        <v>964</v>
      </c>
      <c r="T435">
        <v>20</v>
      </c>
      <c r="U435" t="str">
        <f>IF(Teacher_Data[[#This Row],[Completion_Status]]="Completed","Yes","No")</f>
        <v>No</v>
      </c>
      <c r="V435">
        <f>IF(Teacher_Data[[#This Row],[Completion_Status]]="Completed",1,0)</f>
        <v>0</v>
      </c>
      <c r="W435">
        <f>1</f>
        <v>1</v>
      </c>
      <c r="X435">
        <f>Teacher_Data[[#This Row],[End_Date]]-Teacher_Data[[#This Row],[Start_Date]]</f>
        <v>57</v>
      </c>
      <c r="Y435" t="str">
        <f>_xlfn.IFS(Teacher_Data[[#This Row],[Experience_Years]]&lt;=5,"0-5 Years",Teacher_Data[[#This Row],[Experience_Years]]&lt;=10,"5-10 Years",Teacher_Data[[#This Row],[Experience_Years]]&lt;=20,"11-20 Years",TRUE,"20+ Years")</f>
        <v>11-20 Years</v>
      </c>
    </row>
    <row r="436" spans="1:25" x14ac:dyDescent="0.3">
      <c r="A436" t="s">
        <v>965</v>
      </c>
      <c r="B436" t="s">
        <v>44</v>
      </c>
      <c r="C436" t="s">
        <v>35</v>
      </c>
      <c r="D436">
        <v>58</v>
      </c>
      <c r="E436" t="s">
        <v>23</v>
      </c>
      <c r="F436" t="s">
        <v>67</v>
      </c>
      <c r="G436" t="s">
        <v>25</v>
      </c>
      <c r="H436" t="s">
        <v>50</v>
      </c>
      <c r="I436" t="s">
        <v>27</v>
      </c>
      <c r="J436" s="1">
        <v>45442</v>
      </c>
      <c r="K436" s="1">
        <v>45501</v>
      </c>
      <c r="L436" t="s">
        <v>60</v>
      </c>
      <c r="M436" s="2">
        <v>0</v>
      </c>
      <c r="O436" t="s">
        <v>29</v>
      </c>
      <c r="P436">
        <v>18</v>
      </c>
      <c r="Q436" t="s">
        <v>40</v>
      </c>
      <c r="R436" t="s">
        <v>72</v>
      </c>
      <c r="S436" t="s">
        <v>966</v>
      </c>
      <c r="T436">
        <v>13</v>
      </c>
      <c r="U436" t="str">
        <f>IF(Teacher_Data[[#This Row],[Completion_Status]]="Completed","Yes","No")</f>
        <v>No</v>
      </c>
      <c r="V436">
        <f>IF(Teacher_Data[[#This Row],[Completion_Status]]="Completed",1,0)</f>
        <v>0</v>
      </c>
      <c r="W436">
        <f>1</f>
        <v>1</v>
      </c>
      <c r="X436">
        <f>Teacher_Data[[#This Row],[End_Date]]-Teacher_Data[[#This Row],[Start_Date]]</f>
        <v>59</v>
      </c>
      <c r="Y436" t="str">
        <f>_xlfn.IFS(Teacher_Data[[#This Row],[Experience_Years]]&lt;=5,"0-5 Years",Teacher_Data[[#This Row],[Experience_Years]]&lt;=10,"5-10 Years",Teacher_Data[[#This Row],[Experience_Years]]&lt;=20,"11-20 Years",TRUE,"20+ Years")</f>
        <v>11-20 Years</v>
      </c>
    </row>
    <row r="437" spans="1:25" x14ac:dyDescent="0.3">
      <c r="A437" t="s">
        <v>967</v>
      </c>
      <c r="B437" t="s">
        <v>145</v>
      </c>
      <c r="C437" t="s">
        <v>22</v>
      </c>
      <c r="D437">
        <v>47</v>
      </c>
      <c r="E437" t="s">
        <v>66</v>
      </c>
      <c r="F437" t="s">
        <v>83</v>
      </c>
      <c r="G437" t="s">
        <v>38</v>
      </c>
      <c r="H437" t="s">
        <v>59</v>
      </c>
      <c r="I437" t="s">
        <v>46</v>
      </c>
      <c r="J437" s="1">
        <v>45586</v>
      </c>
      <c r="K437" s="1">
        <v>45606</v>
      </c>
      <c r="L437" t="s">
        <v>60</v>
      </c>
      <c r="M437" s="2">
        <v>32</v>
      </c>
      <c r="O437" t="s">
        <v>29</v>
      </c>
      <c r="P437">
        <v>57</v>
      </c>
      <c r="Q437" t="s">
        <v>40</v>
      </c>
      <c r="R437" t="s">
        <v>72</v>
      </c>
      <c r="S437" t="s">
        <v>968</v>
      </c>
      <c r="T437">
        <v>19</v>
      </c>
      <c r="U437" t="str">
        <f>IF(Teacher_Data[[#This Row],[Completion_Status]]="Completed","Yes","No")</f>
        <v>No</v>
      </c>
      <c r="V437">
        <f>IF(Teacher_Data[[#This Row],[Completion_Status]]="Completed",1,0)</f>
        <v>0</v>
      </c>
      <c r="W437">
        <f>1</f>
        <v>1</v>
      </c>
      <c r="X437">
        <f>Teacher_Data[[#This Row],[End_Date]]-Teacher_Data[[#This Row],[Start_Date]]</f>
        <v>20</v>
      </c>
      <c r="Y437" t="str">
        <f>_xlfn.IFS(Teacher_Data[[#This Row],[Experience_Years]]&lt;=5,"0-5 Years",Teacher_Data[[#This Row],[Experience_Years]]&lt;=10,"5-10 Years",Teacher_Data[[#This Row],[Experience_Years]]&lt;=20,"11-20 Years",TRUE,"20+ Years")</f>
        <v>11-20 Years</v>
      </c>
    </row>
    <row r="438" spans="1:25" x14ac:dyDescent="0.3">
      <c r="A438" t="s">
        <v>969</v>
      </c>
      <c r="B438" t="s">
        <v>191</v>
      </c>
      <c r="C438" t="s">
        <v>35</v>
      </c>
      <c r="D438">
        <v>29</v>
      </c>
      <c r="E438" t="s">
        <v>23</v>
      </c>
      <c r="F438" t="s">
        <v>67</v>
      </c>
      <c r="G438" t="s">
        <v>38</v>
      </c>
      <c r="H438" t="s">
        <v>50</v>
      </c>
      <c r="I438" t="s">
        <v>27</v>
      </c>
      <c r="J438" s="1">
        <v>45520</v>
      </c>
      <c r="K438" s="1">
        <v>45542</v>
      </c>
      <c r="L438" t="s">
        <v>60</v>
      </c>
      <c r="M438" s="2">
        <v>24</v>
      </c>
      <c r="O438" t="s">
        <v>29</v>
      </c>
      <c r="P438">
        <v>55</v>
      </c>
      <c r="Q438" t="s">
        <v>40</v>
      </c>
      <c r="R438" t="s">
        <v>31</v>
      </c>
      <c r="S438" t="s">
        <v>970</v>
      </c>
      <c r="T438">
        <v>5</v>
      </c>
      <c r="U438" t="str">
        <f>IF(Teacher_Data[[#This Row],[Completion_Status]]="Completed","Yes","No")</f>
        <v>No</v>
      </c>
      <c r="V438">
        <f>IF(Teacher_Data[[#This Row],[Completion_Status]]="Completed",1,0)</f>
        <v>0</v>
      </c>
      <c r="W438">
        <f>1</f>
        <v>1</v>
      </c>
      <c r="X438">
        <f>Teacher_Data[[#This Row],[End_Date]]-Teacher_Data[[#This Row],[Start_Date]]</f>
        <v>22</v>
      </c>
      <c r="Y438" t="str">
        <f>_xlfn.IFS(Teacher_Data[[#This Row],[Experience_Years]]&lt;=5,"0-5 Years",Teacher_Data[[#This Row],[Experience_Years]]&lt;=10,"5-10 Years",Teacher_Data[[#This Row],[Experience_Years]]&lt;=20,"11-20 Years",TRUE,"20+ Years")</f>
        <v>0-5 Years</v>
      </c>
    </row>
    <row r="439" spans="1:25" x14ac:dyDescent="0.3">
      <c r="A439" t="s">
        <v>971</v>
      </c>
      <c r="B439" t="s">
        <v>182</v>
      </c>
      <c r="C439" t="s">
        <v>22</v>
      </c>
      <c r="D439">
        <v>43</v>
      </c>
      <c r="E439" t="s">
        <v>66</v>
      </c>
      <c r="F439" t="s">
        <v>37</v>
      </c>
      <c r="G439" t="s">
        <v>58</v>
      </c>
      <c r="H439" t="s">
        <v>50</v>
      </c>
      <c r="I439" t="s">
        <v>27</v>
      </c>
      <c r="J439" s="1">
        <v>45418</v>
      </c>
      <c r="K439" s="1">
        <v>45452</v>
      </c>
      <c r="L439" t="s">
        <v>60</v>
      </c>
      <c r="M439" s="2">
        <v>37</v>
      </c>
      <c r="O439" t="s">
        <v>29</v>
      </c>
      <c r="P439">
        <v>58</v>
      </c>
      <c r="Q439" t="s">
        <v>68</v>
      </c>
      <c r="R439" t="s">
        <v>31</v>
      </c>
      <c r="S439" t="s">
        <v>972</v>
      </c>
      <c r="T439">
        <v>17</v>
      </c>
      <c r="U439" t="str">
        <f>IF(Teacher_Data[[#This Row],[Completion_Status]]="Completed","Yes","No")</f>
        <v>No</v>
      </c>
      <c r="V439">
        <f>IF(Teacher_Data[[#This Row],[Completion_Status]]="Completed",1,0)</f>
        <v>0</v>
      </c>
      <c r="W439">
        <f>1</f>
        <v>1</v>
      </c>
      <c r="X439">
        <f>Teacher_Data[[#This Row],[End_Date]]-Teacher_Data[[#This Row],[Start_Date]]</f>
        <v>34</v>
      </c>
      <c r="Y439" t="str">
        <f>_xlfn.IFS(Teacher_Data[[#This Row],[Experience_Years]]&lt;=5,"0-5 Years",Teacher_Data[[#This Row],[Experience_Years]]&lt;=10,"5-10 Years",Teacher_Data[[#This Row],[Experience_Years]]&lt;=20,"11-20 Years",TRUE,"20+ Years")</f>
        <v>11-20 Years</v>
      </c>
    </row>
    <row r="440" spans="1:25" x14ac:dyDescent="0.3">
      <c r="A440" t="s">
        <v>973</v>
      </c>
      <c r="B440" t="s">
        <v>179</v>
      </c>
      <c r="C440" t="s">
        <v>22</v>
      </c>
      <c r="D440">
        <v>57</v>
      </c>
      <c r="E440" t="s">
        <v>36</v>
      </c>
      <c r="F440" t="s">
        <v>24</v>
      </c>
      <c r="G440" t="s">
        <v>25</v>
      </c>
      <c r="H440" t="s">
        <v>26</v>
      </c>
      <c r="I440" t="s">
        <v>46</v>
      </c>
      <c r="J440" s="1">
        <v>45533</v>
      </c>
      <c r="K440" s="1">
        <v>45541</v>
      </c>
      <c r="L440" t="s">
        <v>52</v>
      </c>
      <c r="M440" s="2">
        <v>90</v>
      </c>
      <c r="N440">
        <v>99</v>
      </c>
      <c r="O440" t="s">
        <v>53</v>
      </c>
      <c r="P440">
        <v>48</v>
      </c>
      <c r="Q440" t="s">
        <v>61</v>
      </c>
      <c r="R440" t="s">
        <v>62</v>
      </c>
      <c r="S440" t="s">
        <v>974</v>
      </c>
      <c r="T440">
        <v>19</v>
      </c>
      <c r="U440" t="str">
        <f>IF(Teacher_Data[[#This Row],[Completion_Status]]="Completed","Yes","No")</f>
        <v>Yes</v>
      </c>
      <c r="V440">
        <f>IF(Teacher_Data[[#This Row],[Completion_Status]]="Completed",1,0)</f>
        <v>1</v>
      </c>
      <c r="W440">
        <f>1</f>
        <v>1</v>
      </c>
      <c r="X440">
        <f>Teacher_Data[[#This Row],[End_Date]]-Teacher_Data[[#This Row],[Start_Date]]</f>
        <v>8</v>
      </c>
      <c r="Y440" t="str">
        <f>_xlfn.IFS(Teacher_Data[[#This Row],[Experience_Years]]&lt;=5,"0-5 Years",Teacher_Data[[#This Row],[Experience_Years]]&lt;=10,"5-10 Years",Teacher_Data[[#This Row],[Experience_Years]]&lt;=20,"11-20 Years",TRUE,"20+ Years")</f>
        <v>11-20 Years</v>
      </c>
    </row>
    <row r="441" spans="1:25" x14ac:dyDescent="0.3">
      <c r="A441" t="s">
        <v>975</v>
      </c>
      <c r="B441" t="s">
        <v>71</v>
      </c>
      <c r="C441" t="s">
        <v>35</v>
      </c>
      <c r="D441">
        <v>55</v>
      </c>
      <c r="E441" t="s">
        <v>36</v>
      </c>
      <c r="F441" t="s">
        <v>100</v>
      </c>
      <c r="G441" t="s">
        <v>76</v>
      </c>
      <c r="H441" t="s">
        <v>50</v>
      </c>
      <c r="I441" t="s">
        <v>46</v>
      </c>
      <c r="J441" s="1">
        <v>45578</v>
      </c>
      <c r="K441" s="1">
        <v>45588</v>
      </c>
      <c r="L441" t="s">
        <v>28</v>
      </c>
      <c r="M441" s="2">
        <v>61</v>
      </c>
      <c r="O441" t="s">
        <v>29</v>
      </c>
      <c r="P441">
        <v>44</v>
      </c>
      <c r="Q441" t="s">
        <v>30</v>
      </c>
      <c r="R441" t="s">
        <v>41</v>
      </c>
      <c r="S441" t="s">
        <v>976</v>
      </c>
      <c r="T441">
        <v>29</v>
      </c>
      <c r="U441" t="str">
        <f>IF(Teacher_Data[[#This Row],[Completion_Status]]="Completed","Yes","No")</f>
        <v>No</v>
      </c>
      <c r="V441">
        <f>IF(Teacher_Data[[#This Row],[Completion_Status]]="Completed",1,0)</f>
        <v>0</v>
      </c>
      <c r="W441">
        <f>1</f>
        <v>1</v>
      </c>
      <c r="X441">
        <f>Teacher_Data[[#This Row],[End_Date]]-Teacher_Data[[#This Row],[Start_Date]]</f>
        <v>10</v>
      </c>
      <c r="Y441" t="str">
        <f>_xlfn.IFS(Teacher_Data[[#This Row],[Experience_Years]]&lt;=5,"0-5 Years",Teacher_Data[[#This Row],[Experience_Years]]&lt;=10,"5-10 Years",Teacher_Data[[#This Row],[Experience_Years]]&lt;=20,"11-20 Years",TRUE,"20+ Years")</f>
        <v>20+ Years</v>
      </c>
    </row>
    <row r="442" spans="1:25" x14ac:dyDescent="0.3">
      <c r="A442" t="s">
        <v>977</v>
      </c>
      <c r="B442" t="s">
        <v>308</v>
      </c>
      <c r="C442" t="s">
        <v>35</v>
      </c>
      <c r="D442">
        <v>52</v>
      </c>
      <c r="E442" t="s">
        <v>66</v>
      </c>
      <c r="F442" t="s">
        <v>37</v>
      </c>
      <c r="G442" t="s">
        <v>58</v>
      </c>
      <c r="H442" t="s">
        <v>50</v>
      </c>
      <c r="I442" t="s">
        <v>51</v>
      </c>
      <c r="J442" s="1">
        <v>45418</v>
      </c>
      <c r="K442" s="1">
        <v>45433</v>
      </c>
      <c r="L442" t="s">
        <v>52</v>
      </c>
      <c r="M442" s="2">
        <v>62</v>
      </c>
      <c r="N442">
        <v>50</v>
      </c>
      <c r="O442" t="s">
        <v>53</v>
      </c>
      <c r="P442">
        <v>30</v>
      </c>
      <c r="Q442" t="s">
        <v>40</v>
      </c>
      <c r="R442" t="s">
        <v>72</v>
      </c>
      <c r="S442" t="s">
        <v>978</v>
      </c>
      <c r="T442">
        <v>20</v>
      </c>
      <c r="U442" t="str">
        <f>IF(Teacher_Data[[#This Row],[Completion_Status]]="Completed","Yes","No")</f>
        <v>Yes</v>
      </c>
      <c r="V442">
        <f>IF(Teacher_Data[[#This Row],[Completion_Status]]="Completed",1,0)</f>
        <v>1</v>
      </c>
      <c r="W442">
        <f>1</f>
        <v>1</v>
      </c>
      <c r="X442">
        <f>Teacher_Data[[#This Row],[End_Date]]-Teacher_Data[[#This Row],[Start_Date]]</f>
        <v>15</v>
      </c>
      <c r="Y442" t="str">
        <f>_xlfn.IFS(Teacher_Data[[#This Row],[Experience_Years]]&lt;=5,"0-5 Years",Teacher_Data[[#This Row],[Experience_Years]]&lt;=10,"5-10 Years",Teacher_Data[[#This Row],[Experience_Years]]&lt;=20,"11-20 Years",TRUE,"20+ Years")</f>
        <v>11-20 Years</v>
      </c>
    </row>
    <row r="443" spans="1:25" x14ac:dyDescent="0.3">
      <c r="A443" t="s">
        <v>979</v>
      </c>
      <c r="B443" t="s">
        <v>94</v>
      </c>
      <c r="C443" t="s">
        <v>22</v>
      </c>
      <c r="D443">
        <v>50</v>
      </c>
      <c r="E443" t="s">
        <v>36</v>
      </c>
      <c r="F443" t="s">
        <v>83</v>
      </c>
      <c r="G443" t="s">
        <v>25</v>
      </c>
      <c r="H443" t="s">
        <v>50</v>
      </c>
      <c r="I443" t="s">
        <v>51</v>
      </c>
      <c r="J443" s="1">
        <v>45354</v>
      </c>
      <c r="K443" s="1">
        <v>45372</v>
      </c>
      <c r="L443" t="s">
        <v>52</v>
      </c>
      <c r="M443" s="2">
        <v>82</v>
      </c>
      <c r="N443">
        <v>85</v>
      </c>
      <c r="O443" t="s">
        <v>53</v>
      </c>
      <c r="P443">
        <v>30</v>
      </c>
      <c r="Q443" t="s">
        <v>68</v>
      </c>
      <c r="R443" t="s">
        <v>31</v>
      </c>
      <c r="S443" t="s">
        <v>980</v>
      </c>
      <c r="T443">
        <v>3</v>
      </c>
      <c r="U443" t="str">
        <f>IF(Teacher_Data[[#This Row],[Completion_Status]]="Completed","Yes","No")</f>
        <v>Yes</v>
      </c>
      <c r="V443">
        <f>IF(Teacher_Data[[#This Row],[Completion_Status]]="Completed",1,0)</f>
        <v>1</v>
      </c>
      <c r="W443">
        <f>1</f>
        <v>1</v>
      </c>
      <c r="X443">
        <f>Teacher_Data[[#This Row],[End_Date]]-Teacher_Data[[#This Row],[Start_Date]]</f>
        <v>18</v>
      </c>
      <c r="Y443" t="str">
        <f>_xlfn.IFS(Teacher_Data[[#This Row],[Experience_Years]]&lt;=5,"0-5 Years",Teacher_Data[[#This Row],[Experience_Years]]&lt;=10,"5-10 Years",Teacher_Data[[#This Row],[Experience_Years]]&lt;=20,"11-20 Years",TRUE,"20+ Years")</f>
        <v>0-5 Years</v>
      </c>
    </row>
    <row r="444" spans="1:25" x14ac:dyDescent="0.3">
      <c r="A444" t="s">
        <v>981</v>
      </c>
      <c r="B444" t="s">
        <v>79</v>
      </c>
      <c r="C444" t="s">
        <v>22</v>
      </c>
      <c r="D444">
        <v>57</v>
      </c>
      <c r="E444" t="s">
        <v>23</v>
      </c>
      <c r="F444" t="s">
        <v>100</v>
      </c>
      <c r="G444" t="s">
        <v>58</v>
      </c>
      <c r="H444" t="s">
        <v>39</v>
      </c>
      <c r="I444" t="s">
        <v>27</v>
      </c>
      <c r="J444" s="1">
        <v>45364</v>
      </c>
      <c r="K444" s="1">
        <v>45397</v>
      </c>
      <c r="L444" t="s">
        <v>52</v>
      </c>
      <c r="M444" s="2">
        <v>99</v>
      </c>
      <c r="N444">
        <v>69</v>
      </c>
      <c r="O444" t="s">
        <v>53</v>
      </c>
      <c r="P444">
        <v>12</v>
      </c>
      <c r="Q444" t="s">
        <v>30</v>
      </c>
      <c r="R444" t="s">
        <v>104</v>
      </c>
      <c r="S444" t="s">
        <v>982</v>
      </c>
      <c r="T444">
        <v>26</v>
      </c>
      <c r="U444" t="str">
        <f>IF(Teacher_Data[[#This Row],[Completion_Status]]="Completed","Yes","No")</f>
        <v>Yes</v>
      </c>
      <c r="V444">
        <f>IF(Teacher_Data[[#This Row],[Completion_Status]]="Completed",1,0)</f>
        <v>1</v>
      </c>
      <c r="W444">
        <f>1</f>
        <v>1</v>
      </c>
      <c r="X444">
        <f>Teacher_Data[[#This Row],[End_Date]]-Teacher_Data[[#This Row],[Start_Date]]</f>
        <v>33</v>
      </c>
      <c r="Y444" t="str">
        <f>_xlfn.IFS(Teacher_Data[[#This Row],[Experience_Years]]&lt;=5,"0-5 Years",Teacher_Data[[#This Row],[Experience_Years]]&lt;=10,"5-10 Years",Teacher_Data[[#This Row],[Experience_Years]]&lt;=20,"11-20 Years",TRUE,"20+ Years")</f>
        <v>20+ Years</v>
      </c>
    </row>
    <row r="445" spans="1:25" x14ac:dyDescent="0.3">
      <c r="A445" t="s">
        <v>983</v>
      </c>
      <c r="B445" t="s">
        <v>44</v>
      </c>
      <c r="C445" t="s">
        <v>22</v>
      </c>
      <c r="D445">
        <v>58</v>
      </c>
      <c r="E445" t="s">
        <v>57</v>
      </c>
      <c r="F445" t="s">
        <v>37</v>
      </c>
      <c r="G445" t="s">
        <v>58</v>
      </c>
      <c r="H445" t="s">
        <v>59</v>
      </c>
      <c r="I445" t="s">
        <v>51</v>
      </c>
      <c r="J445" s="1">
        <v>45489</v>
      </c>
      <c r="K445" s="1">
        <v>45524</v>
      </c>
      <c r="L445" t="s">
        <v>28</v>
      </c>
      <c r="M445" s="2">
        <v>59</v>
      </c>
      <c r="O445" t="s">
        <v>29</v>
      </c>
      <c r="P445">
        <v>10</v>
      </c>
      <c r="Q445" t="s">
        <v>68</v>
      </c>
      <c r="R445" t="s">
        <v>104</v>
      </c>
      <c r="S445" t="s">
        <v>984</v>
      </c>
      <c r="T445">
        <v>26</v>
      </c>
      <c r="U445" t="str">
        <f>IF(Teacher_Data[[#This Row],[Completion_Status]]="Completed","Yes","No")</f>
        <v>No</v>
      </c>
      <c r="V445">
        <f>IF(Teacher_Data[[#This Row],[Completion_Status]]="Completed",1,0)</f>
        <v>0</v>
      </c>
      <c r="W445">
        <f>1</f>
        <v>1</v>
      </c>
      <c r="X445">
        <f>Teacher_Data[[#This Row],[End_Date]]-Teacher_Data[[#This Row],[Start_Date]]</f>
        <v>35</v>
      </c>
      <c r="Y445" t="str">
        <f>_xlfn.IFS(Teacher_Data[[#This Row],[Experience_Years]]&lt;=5,"0-5 Years",Teacher_Data[[#This Row],[Experience_Years]]&lt;=10,"5-10 Years",Teacher_Data[[#This Row],[Experience_Years]]&lt;=20,"11-20 Years",TRUE,"20+ Years")</f>
        <v>20+ Years</v>
      </c>
    </row>
    <row r="446" spans="1:25" x14ac:dyDescent="0.3">
      <c r="A446" t="s">
        <v>985</v>
      </c>
      <c r="B446" t="s">
        <v>86</v>
      </c>
      <c r="C446" t="s">
        <v>22</v>
      </c>
      <c r="D446">
        <v>36</v>
      </c>
      <c r="E446" t="s">
        <v>57</v>
      </c>
      <c r="F446" t="s">
        <v>24</v>
      </c>
      <c r="G446" t="s">
        <v>45</v>
      </c>
      <c r="H446" t="s">
        <v>26</v>
      </c>
      <c r="I446" t="s">
        <v>27</v>
      </c>
      <c r="J446" s="1">
        <v>45432</v>
      </c>
      <c r="K446" s="1">
        <v>45463</v>
      </c>
      <c r="L446" t="s">
        <v>28</v>
      </c>
      <c r="M446" s="2">
        <v>67</v>
      </c>
      <c r="O446" t="s">
        <v>29</v>
      </c>
      <c r="P446">
        <v>11</v>
      </c>
      <c r="Q446" t="s">
        <v>61</v>
      </c>
      <c r="R446" t="s">
        <v>62</v>
      </c>
      <c r="S446" t="s">
        <v>986</v>
      </c>
      <c r="T446">
        <v>14</v>
      </c>
      <c r="U446" t="str">
        <f>IF(Teacher_Data[[#This Row],[Completion_Status]]="Completed","Yes","No")</f>
        <v>No</v>
      </c>
      <c r="V446">
        <f>IF(Teacher_Data[[#This Row],[Completion_Status]]="Completed",1,0)</f>
        <v>0</v>
      </c>
      <c r="W446">
        <f>1</f>
        <v>1</v>
      </c>
      <c r="X446">
        <f>Teacher_Data[[#This Row],[End_Date]]-Teacher_Data[[#This Row],[Start_Date]]</f>
        <v>31</v>
      </c>
      <c r="Y446" t="str">
        <f>_xlfn.IFS(Teacher_Data[[#This Row],[Experience_Years]]&lt;=5,"0-5 Years",Teacher_Data[[#This Row],[Experience_Years]]&lt;=10,"5-10 Years",Teacher_Data[[#This Row],[Experience_Years]]&lt;=20,"11-20 Years",TRUE,"20+ Years")</f>
        <v>11-20 Years</v>
      </c>
    </row>
    <row r="447" spans="1:25" x14ac:dyDescent="0.3">
      <c r="A447" t="s">
        <v>987</v>
      </c>
      <c r="B447" t="s">
        <v>417</v>
      </c>
      <c r="C447" t="s">
        <v>22</v>
      </c>
      <c r="D447">
        <v>26</v>
      </c>
      <c r="E447" t="s">
        <v>36</v>
      </c>
      <c r="F447" t="s">
        <v>67</v>
      </c>
      <c r="G447" t="s">
        <v>58</v>
      </c>
      <c r="H447" t="s">
        <v>39</v>
      </c>
      <c r="I447" t="s">
        <v>27</v>
      </c>
      <c r="J447" s="1">
        <v>45296</v>
      </c>
      <c r="K447" s="1">
        <v>45339</v>
      </c>
      <c r="L447" t="s">
        <v>60</v>
      </c>
      <c r="M447" s="2">
        <v>0</v>
      </c>
      <c r="O447" t="s">
        <v>29</v>
      </c>
      <c r="P447">
        <v>38</v>
      </c>
      <c r="Q447" t="s">
        <v>68</v>
      </c>
      <c r="R447" t="s">
        <v>31</v>
      </c>
      <c r="S447" t="s">
        <v>988</v>
      </c>
      <c r="T447">
        <v>33</v>
      </c>
      <c r="U447" t="str">
        <f>IF(Teacher_Data[[#This Row],[Completion_Status]]="Completed","Yes","No")</f>
        <v>No</v>
      </c>
      <c r="V447">
        <f>IF(Teacher_Data[[#This Row],[Completion_Status]]="Completed",1,0)</f>
        <v>0</v>
      </c>
      <c r="W447">
        <f>1</f>
        <v>1</v>
      </c>
      <c r="X447">
        <f>Teacher_Data[[#This Row],[End_Date]]-Teacher_Data[[#This Row],[Start_Date]]</f>
        <v>43</v>
      </c>
      <c r="Y447" t="str">
        <f>_xlfn.IFS(Teacher_Data[[#This Row],[Experience_Years]]&lt;=5,"0-5 Years",Teacher_Data[[#This Row],[Experience_Years]]&lt;=10,"5-10 Years",Teacher_Data[[#This Row],[Experience_Years]]&lt;=20,"11-20 Years",TRUE,"20+ Years")</f>
        <v>20+ Years</v>
      </c>
    </row>
    <row r="448" spans="1:25" x14ac:dyDescent="0.3">
      <c r="A448" t="s">
        <v>989</v>
      </c>
      <c r="B448" t="s">
        <v>281</v>
      </c>
      <c r="C448" t="s">
        <v>22</v>
      </c>
      <c r="D448">
        <v>31</v>
      </c>
      <c r="E448" t="s">
        <v>36</v>
      </c>
      <c r="F448" t="s">
        <v>100</v>
      </c>
      <c r="G448" t="s">
        <v>76</v>
      </c>
      <c r="H448" t="s">
        <v>39</v>
      </c>
      <c r="I448" t="s">
        <v>27</v>
      </c>
      <c r="J448" s="1">
        <v>45460</v>
      </c>
      <c r="K448" s="1">
        <v>45495</v>
      </c>
      <c r="L448" t="s">
        <v>52</v>
      </c>
      <c r="M448" s="2">
        <v>49</v>
      </c>
      <c r="N448">
        <v>78</v>
      </c>
      <c r="O448" t="s">
        <v>53</v>
      </c>
      <c r="P448">
        <v>22</v>
      </c>
      <c r="Q448" t="s">
        <v>30</v>
      </c>
      <c r="R448" t="s">
        <v>72</v>
      </c>
      <c r="S448" t="s">
        <v>990</v>
      </c>
      <c r="T448">
        <v>31</v>
      </c>
      <c r="U448" t="str">
        <f>IF(Teacher_Data[[#This Row],[Completion_Status]]="Completed","Yes","No")</f>
        <v>Yes</v>
      </c>
      <c r="V448">
        <f>IF(Teacher_Data[[#This Row],[Completion_Status]]="Completed",1,0)</f>
        <v>1</v>
      </c>
      <c r="W448">
        <f>1</f>
        <v>1</v>
      </c>
      <c r="X448">
        <f>Teacher_Data[[#This Row],[End_Date]]-Teacher_Data[[#This Row],[Start_Date]]</f>
        <v>35</v>
      </c>
      <c r="Y448" t="str">
        <f>_xlfn.IFS(Teacher_Data[[#This Row],[Experience_Years]]&lt;=5,"0-5 Years",Teacher_Data[[#This Row],[Experience_Years]]&lt;=10,"5-10 Years",Teacher_Data[[#This Row],[Experience_Years]]&lt;=20,"11-20 Years",TRUE,"20+ Years")</f>
        <v>20+ Years</v>
      </c>
    </row>
    <row r="449" spans="1:25" x14ac:dyDescent="0.3">
      <c r="A449" t="s">
        <v>991</v>
      </c>
      <c r="B449" t="s">
        <v>86</v>
      </c>
      <c r="C449" t="s">
        <v>35</v>
      </c>
      <c r="D449">
        <v>44</v>
      </c>
      <c r="E449" t="s">
        <v>23</v>
      </c>
      <c r="F449" t="s">
        <v>37</v>
      </c>
      <c r="G449" t="s">
        <v>25</v>
      </c>
      <c r="H449" t="s">
        <v>39</v>
      </c>
      <c r="I449" t="s">
        <v>51</v>
      </c>
      <c r="J449" s="1">
        <v>45374</v>
      </c>
      <c r="K449" s="1">
        <v>45381</v>
      </c>
      <c r="L449" t="s">
        <v>60</v>
      </c>
      <c r="M449" s="2">
        <v>13</v>
      </c>
      <c r="O449" t="s">
        <v>29</v>
      </c>
      <c r="P449">
        <v>51</v>
      </c>
      <c r="Q449" t="s">
        <v>30</v>
      </c>
      <c r="R449" t="s">
        <v>31</v>
      </c>
      <c r="S449" t="s">
        <v>992</v>
      </c>
      <c r="T449">
        <v>11</v>
      </c>
      <c r="U449" t="str">
        <f>IF(Teacher_Data[[#This Row],[Completion_Status]]="Completed","Yes","No")</f>
        <v>No</v>
      </c>
      <c r="V449">
        <f>IF(Teacher_Data[[#This Row],[Completion_Status]]="Completed",1,0)</f>
        <v>0</v>
      </c>
      <c r="W449">
        <f>1</f>
        <v>1</v>
      </c>
      <c r="X449">
        <f>Teacher_Data[[#This Row],[End_Date]]-Teacher_Data[[#This Row],[Start_Date]]</f>
        <v>7</v>
      </c>
      <c r="Y449" t="str">
        <f>_xlfn.IFS(Teacher_Data[[#This Row],[Experience_Years]]&lt;=5,"0-5 Years",Teacher_Data[[#This Row],[Experience_Years]]&lt;=10,"5-10 Years",Teacher_Data[[#This Row],[Experience_Years]]&lt;=20,"11-20 Years",TRUE,"20+ Years")</f>
        <v>11-20 Years</v>
      </c>
    </row>
    <row r="450" spans="1:25" x14ac:dyDescent="0.3">
      <c r="A450" t="s">
        <v>993</v>
      </c>
      <c r="B450" t="s">
        <v>49</v>
      </c>
      <c r="C450" t="s">
        <v>22</v>
      </c>
      <c r="D450">
        <v>30</v>
      </c>
      <c r="E450" t="s">
        <v>23</v>
      </c>
      <c r="F450" t="s">
        <v>83</v>
      </c>
      <c r="G450" t="s">
        <v>38</v>
      </c>
      <c r="H450" t="s">
        <v>26</v>
      </c>
      <c r="I450" t="s">
        <v>51</v>
      </c>
      <c r="J450" s="1">
        <v>45308</v>
      </c>
      <c r="K450" s="1">
        <v>45354</v>
      </c>
      <c r="L450" t="s">
        <v>28</v>
      </c>
      <c r="M450" s="2">
        <v>100</v>
      </c>
      <c r="O450" t="s">
        <v>29</v>
      </c>
      <c r="P450">
        <v>23</v>
      </c>
      <c r="Q450" t="s">
        <v>30</v>
      </c>
      <c r="R450" t="s">
        <v>104</v>
      </c>
      <c r="S450" t="s">
        <v>994</v>
      </c>
      <c r="T450">
        <v>7</v>
      </c>
      <c r="U450" t="str">
        <f>IF(Teacher_Data[[#This Row],[Completion_Status]]="Completed","Yes","No")</f>
        <v>No</v>
      </c>
      <c r="V450">
        <f>IF(Teacher_Data[[#This Row],[Completion_Status]]="Completed",1,0)</f>
        <v>0</v>
      </c>
      <c r="W450">
        <f>1</f>
        <v>1</v>
      </c>
      <c r="X450">
        <f>Teacher_Data[[#This Row],[End_Date]]-Teacher_Data[[#This Row],[Start_Date]]</f>
        <v>46</v>
      </c>
      <c r="Y450" t="str">
        <f>_xlfn.IFS(Teacher_Data[[#This Row],[Experience_Years]]&lt;=5,"0-5 Years",Teacher_Data[[#This Row],[Experience_Years]]&lt;=10,"5-10 Years",Teacher_Data[[#This Row],[Experience_Years]]&lt;=20,"11-20 Years",TRUE,"20+ Years")</f>
        <v>5-10 Years</v>
      </c>
    </row>
    <row r="451" spans="1:25" x14ac:dyDescent="0.3">
      <c r="A451" t="s">
        <v>995</v>
      </c>
      <c r="B451" t="s">
        <v>133</v>
      </c>
      <c r="C451" t="s">
        <v>35</v>
      </c>
      <c r="D451">
        <v>54</v>
      </c>
      <c r="E451" t="s">
        <v>66</v>
      </c>
      <c r="F451" t="s">
        <v>83</v>
      </c>
      <c r="G451" t="s">
        <v>25</v>
      </c>
      <c r="H451" t="s">
        <v>59</v>
      </c>
      <c r="I451" t="s">
        <v>46</v>
      </c>
      <c r="J451" s="1">
        <v>45469</v>
      </c>
      <c r="K451" s="1">
        <v>45485</v>
      </c>
      <c r="L451" t="s">
        <v>60</v>
      </c>
      <c r="M451" s="2">
        <v>24</v>
      </c>
      <c r="O451" t="s">
        <v>29</v>
      </c>
      <c r="P451">
        <v>45</v>
      </c>
      <c r="Q451" t="s">
        <v>40</v>
      </c>
      <c r="R451" t="s">
        <v>104</v>
      </c>
      <c r="S451" t="s">
        <v>996</v>
      </c>
      <c r="T451">
        <v>29</v>
      </c>
      <c r="U451" t="str">
        <f>IF(Teacher_Data[[#This Row],[Completion_Status]]="Completed","Yes","No")</f>
        <v>No</v>
      </c>
      <c r="V451">
        <f>IF(Teacher_Data[[#This Row],[Completion_Status]]="Completed",1,0)</f>
        <v>0</v>
      </c>
      <c r="W451">
        <f>1</f>
        <v>1</v>
      </c>
      <c r="X451">
        <f>Teacher_Data[[#This Row],[End_Date]]-Teacher_Data[[#This Row],[Start_Date]]</f>
        <v>16</v>
      </c>
      <c r="Y451" t="str">
        <f>_xlfn.IFS(Teacher_Data[[#This Row],[Experience_Years]]&lt;=5,"0-5 Years",Teacher_Data[[#This Row],[Experience_Years]]&lt;=10,"5-10 Years",Teacher_Data[[#This Row],[Experience_Years]]&lt;=20,"11-20 Years",TRUE,"20+ Years")</f>
        <v>20+ Years</v>
      </c>
    </row>
    <row r="452" spans="1:25" x14ac:dyDescent="0.3">
      <c r="A452" t="s">
        <v>997</v>
      </c>
      <c r="B452" t="s">
        <v>110</v>
      </c>
      <c r="C452" t="s">
        <v>22</v>
      </c>
      <c r="D452">
        <v>35</v>
      </c>
      <c r="E452" t="s">
        <v>66</v>
      </c>
      <c r="F452" t="s">
        <v>37</v>
      </c>
      <c r="G452" t="s">
        <v>25</v>
      </c>
      <c r="H452" t="s">
        <v>39</v>
      </c>
      <c r="I452" t="s">
        <v>51</v>
      </c>
      <c r="J452" s="1">
        <v>45558</v>
      </c>
      <c r="K452" s="1">
        <v>45597</v>
      </c>
      <c r="L452" t="s">
        <v>60</v>
      </c>
      <c r="M452" s="2">
        <v>16</v>
      </c>
      <c r="O452" t="s">
        <v>29</v>
      </c>
      <c r="P452">
        <v>5</v>
      </c>
      <c r="Q452" t="s">
        <v>30</v>
      </c>
      <c r="R452" t="s">
        <v>41</v>
      </c>
      <c r="S452" t="s">
        <v>998</v>
      </c>
      <c r="T452">
        <v>29</v>
      </c>
      <c r="U452" t="str">
        <f>IF(Teacher_Data[[#This Row],[Completion_Status]]="Completed","Yes","No")</f>
        <v>No</v>
      </c>
      <c r="V452">
        <f>IF(Teacher_Data[[#This Row],[Completion_Status]]="Completed",1,0)</f>
        <v>0</v>
      </c>
      <c r="W452">
        <f>1</f>
        <v>1</v>
      </c>
      <c r="X452">
        <f>Teacher_Data[[#This Row],[End_Date]]-Teacher_Data[[#This Row],[Start_Date]]</f>
        <v>39</v>
      </c>
      <c r="Y452" t="str">
        <f>_xlfn.IFS(Teacher_Data[[#This Row],[Experience_Years]]&lt;=5,"0-5 Years",Teacher_Data[[#This Row],[Experience_Years]]&lt;=10,"5-10 Years",Teacher_Data[[#This Row],[Experience_Years]]&lt;=20,"11-20 Years",TRUE,"20+ Years")</f>
        <v>20+ Years</v>
      </c>
    </row>
    <row r="453" spans="1:25" x14ac:dyDescent="0.3">
      <c r="A453" t="s">
        <v>999</v>
      </c>
      <c r="B453" t="s">
        <v>229</v>
      </c>
      <c r="C453" t="s">
        <v>22</v>
      </c>
      <c r="D453">
        <v>51</v>
      </c>
      <c r="E453" t="s">
        <v>57</v>
      </c>
      <c r="F453" t="s">
        <v>67</v>
      </c>
      <c r="G453" t="s">
        <v>38</v>
      </c>
      <c r="H453" t="s">
        <v>26</v>
      </c>
      <c r="I453" t="s">
        <v>46</v>
      </c>
      <c r="J453" s="1">
        <v>45429</v>
      </c>
      <c r="K453" s="1">
        <v>45457</v>
      </c>
      <c r="L453" t="s">
        <v>52</v>
      </c>
      <c r="M453" s="2">
        <v>67</v>
      </c>
      <c r="N453">
        <v>65</v>
      </c>
      <c r="O453" t="s">
        <v>53</v>
      </c>
      <c r="P453">
        <v>5</v>
      </c>
      <c r="Q453" t="s">
        <v>40</v>
      </c>
      <c r="R453" t="s">
        <v>104</v>
      </c>
      <c r="S453" t="s">
        <v>1000</v>
      </c>
      <c r="T453">
        <v>18</v>
      </c>
      <c r="U453" t="str">
        <f>IF(Teacher_Data[[#This Row],[Completion_Status]]="Completed","Yes","No")</f>
        <v>Yes</v>
      </c>
      <c r="V453">
        <f>IF(Teacher_Data[[#This Row],[Completion_Status]]="Completed",1,0)</f>
        <v>1</v>
      </c>
      <c r="W453">
        <f>1</f>
        <v>1</v>
      </c>
      <c r="X453">
        <f>Teacher_Data[[#This Row],[End_Date]]-Teacher_Data[[#This Row],[Start_Date]]</f>
        <v>28</v>
      </c>
      <c r="Y453" t="str">
        <f>_xlfn.IFS(Teacher_Data[[#This Row],[Experience_Years]]&lt;=5,"0-5 Years",Teacher_Data[[#This Row],[Experience_Years]]&lt;=10,"5-10 Years",Teacher_Data[[#This Row],[Experience_Years]]&lt;=20,"11-20 Years",TRUE,"20+ Years")</f>
        <v>11-20 Years</v>
      </c>
    </row>
    <row r="454" spans="1:25" x14ac:dyDescent="0.3">
      <c r="A454" t="s">
        <v>1001</v>
      </c>
      <c r="B454" t="s">
        <v>197</v>
      </c>
      <c r="C454" t="s">
        <v>22</v>
      </c>
      <c r="D454">
        <v>29</v>
      </c>
      <c r="E454" t="s">
        <v>23</v>
      </c>
      <c r="F454" t="s">
        <v>37</v>
      </c>
      <c r="G454" t="s">
        <v>58</v>
      </c>
      <c r="H454" t="s">
        <v>59</v>
      </c>
      <c r="I454" t="s">
        <v>51</v>
      </c>
      <c r="J454" s="1">
        <v>45481</v>
      </c>
      <c r="K454" s="1">
        <v>45529</v>
      </c>
      <c r="L454" t="s">
        <v>60</v>
      </c>
      <c r="M454" s="2">
        <v>27</v>
      </c>
      <c r="O454" t="s">
        <v>29</v>
      </c>
      <c r="P454">
        <v>50</v>
      </c>
      <c r="Q454" t="s">
        <v>61</v>
      </c>
      <c r="R454" t="s">
        <v>31</v>
      </c>
      <c r="S454" t="s">
        <v>1002</v>
      </c>
      <c r="T454">
        <v>13</v>
      </c>
      <c r="U454" t="str">
        <f>IF(Teacher_Data[[#This Row],[Completion_Status]]="Completed","Yes","No")</f>
        <v>No</v>
      </c>
      <c r="V454">
        <f>IF(Teacher_Data[[#This Row],[Completion_Status]]="Completed",1,0)</f>
        <v>0</v>
      </c>
      <c r="W454">
        <f>1</f>
        <v>1</v>
      </c>
      <c r="X454">
        <f>Teacher_Data[[#This Row],[End_Date]]-Teacher_Data[[#This Row],[Start_Date]]</f>
        <v>48</v>
      </c>
      <c r="Y454" t="str">
        <f>_xlfn.IFS(Teacher_Data[[#This Row],[Experience_Years]]&lt;=5,"0-5 Years",Teacher_Data[[#This Row],[Experience_Years]]&lt;=10,"5-10 Years",Teacher_Data[[#This Row],[Experience_Years]]&lt;=20,"11-20 Years",TRUE,"20+ Years")</f>
        <v>11-20 Years</v>
      </c>
    </row>
    <row r="455" spans="1:25" x14ac:dyDescent="0.3">
      <c r="A455" t="s">
        <v>1003</v>
      </c>
      <c r="B455" t="s">
        <v>179</v>
      </c>
      <c r="C455" t="s">
        <v>22</v>
      </c>
      <c r="D455">
        <v>29</v>
      </c>
      <c r="E455" t="s">
        <v>66</v>
      </c>
      <c r="F455" t="s">
        <v>83</v>
      </c>
      <c r="G455" t="s">
        <v>76</v>
      </c>
      <c r="H455" t="s">
        <v>26</v>
      </c>
      <c r="I455" t="s">
        <v>46</v>
      </c>
      <c r="J455" s="1">
        <v>45486</v>
      </c>
      <c r="K455" s="1">
        <v>45502</v>
      </c>
      <c r="L455" t="s">
        <v>28</v>
      </c>
      <c r="M455" s="2">
        <v>40</v>
      </c>
      <c r="O455" t="s">
        <v>29</v>
      </c>
      <c r="P455">
        <v>34</v>
      </c>
      <c r="Q455" t="s">
        <v>40</v>
      </c>
      <c r="R455" t="s">
        <v>41</v>
      </c>
      <c r="S455" t="s">
        <v>1004</v>
      </c>
      <c r="T455">
        <v>5</v>
      </c>
      <c r="U455" t="str">
        <f>IF(Teacher_Data[[#This Row],[Completion_Status]]="Completed","Yes","No")</f>
        <v>No</v>
      </c>
      <c r="V455">
        <f>IF(Teacher_Data[[#This Row],[Completion_Status]]="Completed",1,0)</f>
        <v>0</v>
      </c>
      <c r="W455">
        <f>1</f>
        <v>1</v>
      </c>
      <c r="X455">
        <f>Teacher_Data[[#This Row],[End_Date]]-Teacher_Data[[#This Row],[Start_Date]]</f>
        <v>16</v>
      </c>
      <c r="Y455" t="str">
        <f>_xlfn.IFS(Teacher_Data[[#This Row],[Experience_Years]]&lt;=5,"0-5 Years",Teacher_Data[[#This Row],[Experience_Years]]&lt;=10,"5-10 Years",Teacher_Data[[#This Row],[Experience_Years]]&lt;=20,"11-20 Years",TRUE,"20+ Years")</f>
        <v>0-5 Years</v>
      </c>
    </row>
    <row r="456" spans="1:25" x14ac:dyDescent="0.3">
      <c r="A456" t="s">
        <v>1005</v>
      </c>
      <c r="B456" t="s">
        <v>145</v>
      </c>
      <c r="C456" t="s">
        <v>35</v>
      </c>
      <c r="D456">
        <v>27</v>
      </c>
      <c r="E456" t="s">
        <v>36</v>
      </c>
      <c r="F456" t="s">
        <v>67</v>
      </c>
      <c r="G456" t="s">
        <v>76</v>
      </c>
      <c r="H456" t="s">
        <v>59</v>
      </c>
      <c r="I456" t="s">
        <v>27</v>
      </c>
      <c r="J456" s="1">
        <v>45408</v>
      </c>
      <c r="K456" s="1">
        <v>45429</v>
      </c>
      <c r="L456" t="s">
        <v>60</v>
      </c>
      <c r="M456" s="2">
        <v>28</v>
      </c>
      <c r="O456" t="s">
        <v>29</v>
      </c>
      <c r="P456">
        <v>59</v>
      </c>
      <c r="Q456" t="s">
        <v>61</v>
      </c>
      <c r="R456" t="s">
        <v>62</v>
      </c>
      <c r="S456" t="s">
        <v>1006</v>
      </c>
      <c r="T456">
        <v>16</v>
      </c>
      <c r="U456" t="str">
        <f>IF(Teacher_Data[[#This Row],[Completion_Status]]="Completed","Yes","No")</f>
        <v>No</v>
      </c>
      <c r="V456">
        <f>IF(Teacher_Data[[#This Row],[Completion_Status]]="Completed",1,0)</f>
        <v>0</v>
      </c>
      <c r="W456">
        <f>1</f>
        <v>1</v>
      </c>
      <c r="X456">
        <f>Teacher_Data[[#This Row],[End_Date]]-Teacher_Data[[#This Row],[Start_Date]]</f>
        <v>21</v>
      </c>
      <c r="Y456" t="str">
        <f>_xlfn.IFS(Teacher_Data[[#This Row],[Experience_Years]]&lt;=5,"0-5 Years",Teacher_Data[[#This Row],[Experience_Years]]&lt;=10,"5-10 Years",Teacher_Data[[#This Row],[Experience_Years]]&lt;=20,"11-20 Years",TRUE,"20+ Years")</f>
        <v>11-20 Years</v>
      </c>
    </row>
    <row r="457" spans="1:25" x14ac:dyDescent="0.3">
      <c r="A457" t="s">
        <v>1007</v>
      </c>
      <c r="B457" t="s">
        <v>103</v>
      </c>
      <c r="C457" t="s">
        <v>35</v>
      </c>
      <c r="D457">
        <v>42</v>
      </c>
      <c r="E457" t="s">
        <v>57</v>
      </c>
      <c r="F457" t="s">
        <v>37</v>
      </c>
      <c r="G457" t="s">
        <v>45</v>
      </c>
      <c r="H457" t="s">
        <v>50</v>
      </c>
      <c r="I457" t="s">
        <v>51</v>
      </c>
      <c r="J457" s="1">
        <v>45414</v>
      </c>
      <c r="K457" s="1">
        <v>45450</v>
      </c>
      <c r="L457" t="s">
        <v>52</v>
      </c>
      <c r="M457" s="2">
        <v>40</v>
      </c>
      <c r="N457">
        <v>64</v>
      </c>
      <c r="O457" t="s">
        <v>53</v>
      </c>
      <c r="P457">
        <v>9</v>
      </c>
      <c r="Q457" t="s">
        <v>40</v>
      </c>
      <c r="R457" t="s">
        <v>41</v>
      </c>
      <c r="S457" t="s">
        <v>1008</v>
      </c>
      <c r="T457">
        <v>21</v>
      </c>
      <c r="U457" t="str">
        <f>IF(Teacher_Data[[#This Row],[Completion_Status]]="Completed","Yes","No")</f>
        <v>Yes</v>
      </c>
      <c r="V457">
        <f>IF(Teacher_Data[[#This Row],[Completion_Status]]="Completed",1,0)</f>
        <v>1</v>
      </c>
      <c r="W457">
        <f>1</f>
        <v>1</v>
      </c>
      <c r="X457">
        <f>Teacher_Data[[#This Row],[End_Date]]-Teacher_Data[[#This Row],[Start_Date]]</f>
        <v>36</v>
      </c>
      <c r="Y457" t="str">
        <f>_xlfn.IFS(Teacher_Data[[#This Row],[Experience_Years]]&lt;=5,"0-5 Years",Teacher_Data[[#This Row],[Experience_Years]]&lt;=10,"5-10 Years",Teacher_Data[[#This Row],[Experience_Years]]&lt;=20,"11-20 Years",TRUE,"20+ Years")</f>
        <v>20+ Years</v>
      </c>
    </row>
    <row r="458" spans="1:25" x14ac:dyDescent="0.3">
      <c r="A458" t="s">
        <v>1009</v>
      </c>
      <c r="B458" t="s">
        <v>103</v>
      </c>
      <c r="C458" t="s">
        <v>22</v>
      </c>
      <c r="D458">
        <v>24</v>
      </c>
      <c r="E458" t="s">
        <v>66</v>
      </c>
      <c r="F458" t="s">
        <v>37</v>
      </c>
      <c r="G458" t="s">
        <v>38</v>
      </c>
      <c r="H458" t="s">
        <v>39</v>
      </c>
      <c r="I458" t="s">
        <v>46</v>
      </c>
      <c r="J458" s="1">
        <v>45304</v>
      </c>
      <c r="K458" s="1">
        <v>45309</v>
      </c>
      <c r="L458" t="s">
        <v>28</v>
      </c>
      <c r="M458" s="2">
        <v>75</v>
      </c>
      <c r="O458" t="s">
        <v>29</v>
      </c>
      <c r="P458">
        <v>49</v>
      </c>
      <c r="Q458" t="s">
        <v>30</v>
      </c>
      <c r="R458" t="s">
        <v>62</v>
      </c>
      <c r="S458" t="s">
        <v>1010</v>
      </c>
      <c r="T458">
        <v>20</v>
      </c>
      <c r="U458" t="str">
        <f>IF(Teacher_Data[[#This Row],[Completion_Status]]="Completed","Yes","No")</f>
        <v>No</v>
      </c>
      <c r="V458">
        <f>IF(Teacher_Data[[#This Row],[Completion_Status]]="Completed",1,0)</f>
        <v>0</v>
      </c>
      <c r="W458">
        <f>1</f>
        <v>1</v>
      </c>
      <c r="X458">
        <f>Teacher_Data[[#This Row],[End_Date]]-Teacher_Data[[#This Row],[Start_Date]]</f>
        <v>5</v>
      </c>
      <c r="Y458" t="str">
        <f>_xlfn.IFS(Teacher_Data[[#This Row],[Experience_Years]]&lt;=5,"0-5 Years",Teacher_Data[[#This Row],[Experience_Years]]&lt;=10,"5-10 Years",Teacher_Data[[#This Row],[Experience_Years]]&lt;=20,"11-20 Years",TRUE,"20+ Years")</f>
        <v>11-20 Years</v>
      </c>
    </row>
    <row r="459" spans="1:25" x14ac:dyDescent="0.3">
      <c r="A459" t="s">
        <v>1011</v>
      </c>
      <c r="B459" t="s">
        <v>110</v>
      </c>
      <c r="C459" t="s">
        <v>22</v>
      </c>
      <c r="D459">
        <v>42</v>
      </c>
      <c r="E459" t="s">
        <v>23</v>
      </c>
      <c r="F459" t="s">
        <v>100</v>
      </c>
      <c r="G459" t="s">
        <v>58</v>
      </c>
      <c r="H459" t="s">
        <v>50</v>
      </c>
      <c r="I459" t="s">
        <v>46</v>
      </c>
      <c r="J459" s="1">
        <v>45396</v>
      </c>
      <c r="K459" s="1">
        <v>45443</v>
      </c>
      <c r="L459" t="s">
        <v>28</v>
      </c>
      <c r="M459" s="2">
        <v>40</v>
      </c>
      <c r="O459" t="s">
        <v>29</v>
      </c>
      <c r="P459">
        <v>19</v>
      </c>
      <c r="Q459" t="s">
        <v>68</v>
      </c>
      <c r="R459" t="s">
        <v>62</v>
      </c>
      <c r="S459" t="s">
        <v>1012</v>
      </c>
      <c r="T459">
        <v>17</v>
      </c>
      <c r="U459" t="str">
        <f>IF(Teacher_Data[[#This Row],[Completion_Status]]="Completed","Yes","No")</f>
        <v>No</v>
      </c>
      <c r="V459">
        <f>IF(Teacher_Data[[#This Row],[Completion_Status]]="Completed",1,0)</f>
        <v>0</v>
      </c>
      <c r="W459">
        <f>1</f>
        <v>1</v>
      </c>
      <c r="X459">
        <f>Teacher_Data[[#This Row],[End_Date]]-Teacher_Data[[#This Row],[Start_Date]]</f>
        <v>47</v>
      </c>
      <c r="Y459" t="str">
        <f>_xlfn.IFS(Teacher_Data[[#This Row],[Experience_Years]]&lt;=5,"0-5 Years",Teacher_Data[[#This Row],[Experience_Years]]&lt;=10,"5-10 Years",Teacher_Data[[#This Row],[Experience_Years]]&lt;=20,"11-20 Years",TRUE,"20+ Years")</f>
        <v>11-20 Years</v>
      </c>
    </row>
    <row r="460" spans="1:25" x14ac:dyDescent="0.3">
      <c r="A460" t="s">
        <v>1013</v>
      </c>
      <c r="B460" t="s">
        <v>140</v>
      </c>
      <c r="C460" t="s">
        <v>35</v>
      </c>
      <c r="D460">
        <v>39</v>
      </c>
      <c r="E460" t="s">
        <v>36</v>
      </c>
      <c r="F460" t="s">
        <v>24</v>
      </c>
      <c r="G460" t="s">
        <v>25</v>
      </c>
      <c r="H460" t="s">
        <v>50</v>
      </c>
      <c r="I460" t="s">
        <v>27</v>
      </c>
      <c r="J460" s="1">
        <v>45448</v>
      </c>
      <c r="K460" s="1">
        <v>45479</v>
      </c>
      <c r="L460" t="s">
        <v>60</v>
      </c>
      <c r="M460" s="2">
        <v>16</v>
      </c>
      <c r="O460" t="s">
        <v>29</v>
      </c>
      <c r="P460">
        <v>58</v>
      </c>
      <c r="Q460" t="s">
        <v>30</v>
      </c>
      <c r="R460" t="s">
        <v>62</v>
      </c>
      <c r="S460" t="s">
        <v>1014</v>
      </c>
      <c r="T460">
        <v>7</v>
      </c>
      <c r="U460" t="str">
        <f>IF(Teacher_Data[[#This Row],[Completion_Status]]="Completed","Yes","No")</f>
        <v>No</v>
      </c>
      <c r="V460">
        <f>IF(Teacher_Data[[#This Row],[Completion_Status]]="Completed",1,0)</f>
        <v>0</v>
      </c>
      <c r="W460">
        <f>1</f>
        <v>1</v>
      </c>
      <c r="X460">
        <f>Teacher_Data[[#This Row],[End_Date]]-Teacher_Data[[#This Row],[Start_Date]]</f>
        <v>31</v>
      </c>
      <c r="Y460" t="str">
        <f>_xlfn.IFS(Teacher_Data[[#This Row],[Experience_Years]]&lt;=5,"0-5 Years",Teacher_Data[[#This Row],[Experience_Years]]&lt;=10,"5-10 Years",Teacher_Data[[#This Row],[Experience_Years]]&lt;=20,"11-20 Years",TRUE,"20+ Years")</f>
        <v>5-10 Years</v>
      </c>
    </row>
    <row r="461" spans="1:25" x14ac:dyDescent="0.3">
      <c r="A461" t="s">
        <v>1015</v>
      </c>
      <c r="B461" t="s">
        <v>65</v>
      </c>
      <c r="C461" t="s">
        <v>22</v>
      </c>
      <c r="D461">
        <v>59</v>
      </c>
      <c r="E461" t="s">
        <v>57</v>
      </c>
      <c r="F461" t="s">
        <v>37</v>
      </c>
      <c r="G461" t="s">
        <v>38</v>
      </c>
      <c r="H461" t="s">
        <v>26</v>
      </c>
      <c r="I461" t="s">
        <v>51</v>
      </c>
      <c r="J461" s="1">
        <v>45537</v>
      </c>
      <c r="K461" s="1">
        <v>45551</v>
      </c>
      <c r="L461" t="s">
        <v>60</v>
      </c>
      <c r="M461" s="2">
        <v>18</v>
      </c>
      <c r="O461" t="s">
        <v>29</v>
      </c>
      <c r="P461">
        <v>6</v>
      </c>
      <c r="Q461" t="s">
        <v>40</v>
      </c>
      <c r="R461" t="s">
        <v>62</v>
      </c>
      <c r="S461" t="s">
        <v>1016</v>
      </c>
      <c r="T461">
        <v>17</v>
      </c>
      <c r="U461" t="str">
        <f>IF(Teacher_Data[[#This Row],[Completion_Status]]="Completed","Yes","No")</f>
        <v>No</v>
      </c>
      <c r="V461">
        <f>IF(Teacher_Data[[#This Row],[Completion_Status]]="Completed",1,0)</f>
        <v>0</v>
      </c>
      <c r="W461">
        <f>1</f>
        <v>1</v>
      </c>
      <c r="X461">
        <f>Teacher_Data[[#This Row],[End_Date]]-Teacher_Data[[#This Row],[Start_Date]]</f>
        <v>14</v>
      </c>
      <c r="Y461" t="str">
        <f>_xlfn.IFS(Teacher_Data[[#This Row],[Experience_Years]]&lt;=5,"0-5 Years",Teacher_Data[[#This Row],[Experience_Years]]&lt;=10,"5-10 Years",Teacher_Data[[#This Row],[Experience_Years]]&lt;=20,"11-20 Years",TRUE,"20+ Years")</f>
        <v>11-20 Years</v>
      </c>
    </row>
    <row r="462" spans="1:25" x14ac:dyDescent="0.3">
      <c r="A462" t="s">
        <v>1017</v>
      </c>
      <c r="B462" t="s">
        <v>238</v>
      </c>
      <c r="C462" t="s">
        <v>35</v>
      </c>
      <c r="D462">
        <v>55</v>
      </c>
      <c r="E462" t="s">
        <v>36</v>
      </c>
      <c r="F462" t="s">
        <v>67</v>
      </c>
      <c r="G462" t="s">
        <v>45</v>
      </c>
      <c r="H462" t="s">
        <v>59</v>
      </c>
      <c r="I462" t="s">
        <v>51</v>
      </c>
      <c r="J462" s="1">
        <v>45406</v>
      </c>
      <c r="K462" s="1">
        <v>45415</v>
      </c>
      <c r="L462" t="s">
        <v>60</v>
      </c>
      <c r="M462" s="2">
        <v>30</v>
      </c>
      <c r="O462" t="s">
        <v>29</v>
      </c>
      <c r="P462">
        <v>32</v>
      </c>
      <c r="Q462" t="s">
        <v>61</v>
      </c>
      <c r="R462" t="s">
        <v>104</v>
      </c>
      <c r="S462" t="s">
        <v>1018</v>
      </c>
      <c r="T462">
        <v>32</v>
      </c>
      <c r="U462" t="str">
        <f>IF(Teacher_Data[[#This Row],[Completion_Status]]="Completed","Yes","No")</f>
        <v>No</v>
      </c>
      <c r="V462">
        <f>IF(Teacher_Data[[#This Row],[Completion_Status]]="Completed",1,0)</f>
        <v>0</v>
      </c>
      <c r="W462">
        <f>1</f>
        <v>1</v>
      </c>
      <c r="X462">
        <f>Teacher_Data[[#This Row],[End_Date]]-Teacher_Data[[#This Row],[Start_Date]]</f>
        <v>9</v>
      </c>
      <c r="Y462" t="str">
        <f>_xlfn.IFS(Teacher_Data[[#This Row],[Experience_Years]]&lt;=5,"0-5 Years",Teacher_Data[[#This Row],[Experience_Years]]&lt;=10,"5-10 Years",Teacher_Data[[#This Row],[Experience_Years]]&lt;=20,"11-20 Years",TRUE,"20+ Years")</f>
        <v>20+ Years</v>
      </c>
    </row>
    <row r="463" spans="1:25" x14ac:dyDescent="0.3">
      <c r="A463" t="s">
        <v>1019</v>
      </c>
      <c r="B463" t="s">
        <v>238</v>
      </c>
      <c r="C463" t="s">
        <v>35</v>
      </c>
      <c r="D463">
        <v>32</v>
      </c>
      <c r="E463" t="s">
        <v>23</v>
      </c>
      <c r="F463" t="s">
        <v>83</v>
      </c>
      <c r="G463" t="s">
        <v>45</v>
      </c>
      <c r="H463" t="s">
        <v>26</v>
      </c>
      <c r="I463" t="s">
        <v>46</v>
      </c>
      <c r="J463" s="1">
        <v>45335</v>
      </c>
      <c r="K463" s="1">
        <v>45355</v>
      </c>
      <c r="L463" t="s">
        <v>60</v>
      </c>
      <c r="M463" s="2">
        <v>5</v>
      </c>
      <c r="O463" t="s">
        <v>29</v>
      </c>
      <c r="P463">
        <v>40</v>
      </c>
      <c r="Q463" t="s">
        <v>61</v>
      </c>
      <c r="R463" t="s">
        <v>31</v>
      </c>
      <c r="S463" t="s">
        <v>1020</v>
      </c>
      <c r="T463">
        <v>35</v>
      </c>
      <c r="U463" t="str">
        <f>IF(Teacher_Data[[#This Row],[Completion_Status]]="Completed","Yes","No")</f>
        <v>No</v>
      </c>
      <c r="V463">
        <f>IF(Teacher_Data[[#This Row],[Completion_Status]]="Completed",1,0)</f>
        <v>0</v>
      </c>
      <c r="W463">
        <f>1</f>
        <v>1</v>
      </c>
      <c r="X463">
        <f>Teacher_Data[[#This Row],[End_Date]]-Teacher_Data[[#This Row],[Start_Date]]</f>
        <v>20</v>
      </c>
      <c r="Y463" t="str">
        <f>_xlfn.IFS(Teacher_Data[[#This Row],[Experience_Years]]&lt;=5,"0-5 Years",Teacher_Data[[#This Row],[Experience_Years]]&lt;=10,"5-10 Years",Teacher_Data[[#This Row],[Experience_Years]]&lt;=20,"11-20 Years",TRUE,"20+ Years")</f>
        <v>20+ Years</v>
      </c>
    </row>
    <row r="464" spans="1:25" x14ac:dyDescent="0.3">
      <c r="A464" t="s">
        <v>1021</v>
      </c>
      <c r="B464" t="s">
        <v>145</v>
      </c>
      <c r="C464" t="s">
        <v>22</v>
      </c>
      <c r="D464">
        <v>32</v>
      </c>
      <c r="E464" t="s">
        <v>57</v>
      </c>
      <c r="F464" t="s">
        <v>67</v>
      </c>
      <c r="G464" t="s">
        <v>45</v>
      </c>
      <c r="H464" t="s">
        <v>39</v>
      </c>
      <c r="I464" t="s">
        <v>46</v>
      </c>
      <c r="J464" s="1">
        <v>45473</v>
      </c>
      <c r="K464" s="1">
        <v>45514</v>
      </c>
      <c r="L464" t="s">
        <v>60</v>
      </c>
      <c r="M464" s="2">
        <v>9</v>
      </c>
      <c r="O464" t="s">
        <v>29</v>
      </c>
      <c r="P464">
        <v>18</v>
      </c>
      <c r="Q464" t="s">
        <v>61</v>
      </c>
      <c r="R464" t="s">
        <v>72</v>
      </c>
      <c r="S464" t="s">
        <v>1022</v>
      </c>
      <c r="T464">
        <v>8</v>
      </c>
      <c r="U464" t="str">
        <f>IF(Teacher_Data[[#This Row],[Completion_Status]]="Completed","Yes","No")</f>
        <v>No</v>
      </c>
      <c r="V464">
        <f>IF(Teacher_Data[[#This Row],[Completion_Status]]="Completed",1,0)</f>
        <v>0</v>
      </c>
      <c r="W464">
        <f>1</f>
        <v>1</v>
      </c>
      <c r="X464">
        <f>Teacher_Data[[#This Row],[End_Date]]-Teacher_Data[[#This Row],[Start_Date]]</f>
        <v>41</v>
      </c>
      <c r="Y464" t="str">
        <f>_xlfn.IFS(Teacher_Data[[#This Row],[Experience_Years]]&lt;=5,"0-5 Years",Teacher_Data[[#This Row],[Experience_Years]]&lt;=10,"5-10 Years",Teacher_Data[[#This Row],[Experience_Years]]&lt;=20,"11-20 Years",TRUE,"20+ Years")</f>
        <v>5-10 Years</v>
      </c>
    </row>
    <row r="465" spans="1:25" x14ac:dyDescent="0.3">
      <c r="A465" t="s">
        <v>1023</v>
      </c>
      <c r="B465" t="s">
        <v>179</v>
      </c>
      <c r="C465" t="s">
        <v>22</v>
      </c>
      <c r="D465">
        <v>24</v>
      </c>
      <c r="E465" t="s">
        <v>57</v>
      </c>
      <c r="F465" t="s">
        <v>83</v>
      </c>
      <c r="G465" t="s">
        <v>25</v>
      </c>
      <c r="H465" t="s">
        <v>39</v>
      </c>
      <c r="I465" t="s">
        <v>27</v>
      </c>
      <c r="J465" s="1">
        <v>45585</v>
      </c>
      <c r="K465" s="1">
        <v>45633</v>
      </c>
      <c r="L465" t="s">
        <v>28</v>
      </c>
      <c r="M465" s="2">
        <v>98</v>
      </c>
      <c r="O465" t="s">
        <v>29</v>
      </c>
      <c r="P465">
        <v>49</v>
      </c>
      <c r="Q465" t="s">
        <v>68</v>
      </c>
      <c r="R465" t="s">
        <v>41</v>
      </c>
      <c r="S465" t="s">
        <v>1024</v>
      </c>
      <c r="T465">
        <v>12</v>
      </c>
      <c r="U465" t="str">
        <f>IF(Teacher_Data[[#This Row],[Completion_Status]]="Completed","Yes","No")</f>
        <v>No</v>
      </c>
      <c r="V465">
        <f>IF(Teacher_Data[[#This Row],[Completion_Status]]="Completed",1,0)</f>
        <v>0</v>
      </c>
      <c r="W465">
        <f>1</f>
        <v>1</v>
      </c>
      <c r="X465">
        <f>Teacher_Data[[#This Row],[End_Date]]-Teacher_Data[[#This Row],[Start_Date]]</f>
        <v>48</v>
      </c>
      <c r="Y465" t="str">
        <f>_xlfn.IFS(Teacher_Data[[#This Row],[Experience_Years]]&lt;=5,"0-5 Years",Teacher_Data[[#This Row],[Experience_Years]]&lt;=10,"5-10 Years",Teacher_Data[[#This Row],[Experience_Years]]&lt;=20,"11-20 Years",TRUE,"20+ Years")</f>
        <v>11-20 Years</v>
      </c>
    </row>
    <row r="466" spans="1:25" x14ac:dyDescent="0.3">
      <c r="A466" t="s">
        <v>1025</v>
      </c>
      <c r="B466" t="s">
        <v>229</v>
      </c>
      <c r="C466" t="s">
        <v>35</v>
      </c>
      <c r="D466">
        <v>23</v>
      </c>
      <c r="E466" t="s">
        <v>66</v>
      </c>
      <c r="F466" t="s">
        <v>37</v>
      </c>
      <c r="G466" t="s">
        <v>25</v>
      </c>
      <c r="H466" t="s">
        <v>50</v>
      </c>
      <c r="I466" t="s">
        <v>27</v>
      </c>
      <c r="J466" s="1">
        <v>45409</v>
      </c>
      <c r="K466" s="1">
        <v>45444</v>
      </c>
      <c r="L466" t="s">
        <v>52</v>
      </c>
      <c r="M466" s="2">
        <v>61</v>
      </c>
      <c r="N466">
        <v>83</v>
      </c>
      <c r="O466" t="s">
        <v>53</v>
      </c>
      <c r="P466">
        <v>30</v>
      </c>
      <c r="Q466" t="s">
        <v>30</v>
      </c>
      <c r="R466" t="s">
        <v>104</v>
      </c>
      <c r="S466" t="s">
        <v>1026</v>
      </c>
      <c r="T466">
        <v>22</v>
      </c>
      <c r="U466" t="str">
        <f>IF(Teacher_Data[[#This Row],[Completion_Status]]="Completed","Yes","No")</f>
        <v>Yes</v>
      </c>
      <c r="V466">
        <f>IF(Teacher_Data[[#This Row],[Completion_Status]]="Completed",1,0)</f>
        <v>1</v>
      </c>
      <c r="W466">
        <f>1</f>
        <v>1</v>
      </c>
      <c r="X466">
        <f>Teacher_Data[[#This Row],[End_Date]]-Teacher_Data[[#This Row],[Start_Date]]</f>
        <v>35</v>
      </c>
      <c r="Y466" t="str">
        <f>_xlfn.IFS(Teacher_Data[[#This Row],[Experience_Years]]&lt;=5,"0-5 Years",Teacher_Data[[#This Row],[Experience_Years]]&lt;=10,"5-10 Years",Teacher_Data[[#This Row],[Experience_Years]]&lt;=20,"11-20 Years",TRUE,"20+ Years")</f>
        <v>20+ Years</v>
      </c>
    </row>
    <row r="467" spans="1:25" x14ac:dyDescent="0.3">
      <c r="A467" t="s">
        <v>1027</v>
      </c>
      <c r="B467" t="s">
        <v>94</v>
      </c>
      <c r="C467" t="s">
        <v>22</v>
      </c>
      <c r="D467">
        <v>48</v>
      </c>
      <c r="E467" t="s">
        <v>23</v>
      </c>
      <c r="F467" t="s">
        <v>37</v>
      </c>
      <c r="G467" t="s">
        <v>76</v>
      </c>
      <c r="H467" t="s">
        <v>50</v>
      </c>
      <c r="I467" t="s">
        <v>27</v>
      </c>
      <c r="J467" s="1">
        <v>45577</v>
      </c>
      <c r="K467" s="1">
        <v>45594</v>
      </c>
      <c r="L467" t="s">
        <v>28</v>
      </c>
      <c r="M467" s="2">
        <v>70</v>
      </c>
      <c r="O467" t="s">
        <v>29</v>
      </c>
      <c r="P467">
        <v>23</v>
      </c>
      <c r="Q467" t="s">
        <v>40</v>
      </c>
      <c r="R467" t="s">
        <v>72</v>
      </c>
      <c r="S467" t="s">
        <v>1028</v>
      </c>
      <c r="T467">
        <v>4</v>
      </c>
      <c r="U467" t="str">
        <f>IF(Teacher_Data[[#This Row],[Completion_Status]]="Completed","Yes","No")</f>
        <v>No</v>
      </c>
      <c r="V467">
        <f>IF(Teacher_Data[[#This Row],[Completion_Status]]="Completed",1,0)</f>
        <v>0</v>
      </c>
      <c r="W467">
        <f>1</f>
        <v>1</v>
      </c>
      <c r="X467">
        <f>Teacher_Data[[#This Row],[End_Date]]-Teacher_Data[[#This Row],[Start_Date]]</f>
        <v>17</v>
      </c>
      <c r="Y467" t="str">
        <f>_xlfn.IFS(Teacher_Data[[#This Row],[Experience_Years]]&lt;=5,"0-5 Years",Teacher_Data[[#This Row],[Experience_Years]]&lt;=10,"5-10 Years",Teacher_Data[[#This Row],[Experience_Years]]&lt;=20,"11-20 Years",TRUE,"20+ Years")</f>
        <v>0-5 Years</v>
      </c>
    </row>
    <row r="468" spans="1:25" x14ac:dyDescent="0.3">
      <c r="A468" t="s">
        <v>1029</v>
      </c>
      <c r="B468" t="s">
        <v>121</v>
      </c>
      <c r="C468" t="s">
        <v>35</v>
      </c>
      <c r="D468">
        <v>29</v>
      </c>
      <c r="E468" t="s">
        <v>66</v>
      </c>
      <c r="F468" t="s">
        <v>24</v>
      </c>
      <c r="G468" t="s">
        <v>38</v>
      </c>
      <c r="H468" t="s">
        <v>50</v>
      </c>
      <c r="I468" t="s">
        <v>27</v>
      </c>
      <c r="J468" s="1">
        <v>45468</v>
      </c>
      <c r="K468" s="1">
        <v>45474</v>
      </c>
      <c r="L468" t="s">
        <v>52</v>
      </c>
      <c r="M468" s="2">
        <v>85</v>
      </c>
      <c r="N468">
        <v>100</v>
      </c>
      <c r="O468" t="s">
        <v>53</v>
      </c>
      <c r="P468">
        <v>9</v>
      </c>
      <c r="Q468" t="s">
        <v>40</v>
      </c>
      <c r="R468" t="s">
        <v>62</v>
      </c>
      <c r="S468" t="s">
        <v>1030</v>
      </c>
      <c r="T468">
        <v>21</v>
      </c>
      <c r="U468" t="str">
        <f>IF(Teacher_Data[[#This Row],[Completion_Status]]="Completed","Yes","No")</f>
        <v>Yes</v>
      </c>
      <c r="V468">
        <f>IF(Teacher_Data[[#This Row],[Completion_Status]]="Completed",1,0)</f>
        <v>1</v>
      </c>
      <c r="W468">
        <f>1</f>
        <v>1</v>
      </c>
      <c r="X468">
        <f>Teacher_Data[[#This Row],[End_Date]]-Teacher_Data[[#This Row],[Start_Date]]</f>
        <v>6</v>
      </c>
      <c r="Y468" t="str">
        <f>_xlfn.IFS(Teacher_Data[[#This Row],[Experience_Years]]&lt;=5,"0-5 Years",Teacher_Data[[#This Row],[Experience_Years]]&lt;=10,"5-10 Years",Teacher_Data[[#This Row],[Experience_Years]]&lt;=20,"11-20 Years",TRUE,"20+ Years")</f>
        <v>20+ Years</v>
      </c>
    </row>
    <row r="469" spans="1:25" x14ac:dyDescent="0.3">
      <c r="A469" t="s">
        <v>1031</v>
      </c>
      <c r="B469" t="s">
        <v>167</v>
      </c>
      <c r="C469" t="s">
        <v>35</v>
      </c>
      <c r="D469">
        <v>51</v>
      </c>
      <c r="E469" t="s">
        <v>36</v>
      </c>
      <c r="F469" t="s">
        <v>24</v>
      </c>
      <c r="G469" t="s">
        <v>45</v>
      </c>
      <c r="H469" t="s">
        <v>26</v>
      </c>
      <c r="I469" t="s">
        <v>27</v>
      </c>
      <c r="J469" s="1">
        <v>45320</v>
      </c>
      <c r="K469" s="1">
        <v>45361</v>
      </c>
      <c r="L469" t="s">
        <v>28</v>
      </c>
      <c r="M469" s="2">
        <v>95</v>
      </c>
      <c r="O469" t="s">
        <v>29</v>
      </c>
      <c r="P469">
        <v>38</v>
      </c>
      <c r="Q469" t="s">
        <v>30</v>
      </c>
      <c r="R469" t="s">
        <v>31</v>
      </c>
      <c r="S469" t="s">
        <v>1032</v>
      </c>
      <c r="T469">
        <v>6</v>
      </c>
      <c r="U469" t="str">
        <f>IF(Teacher_Data[[#This Row],[Completion_Status]]="Completed","Yes","No")</f>
        <v>No</v>
      </c>
      <c r="V469">
        <f>IF(Teacher_Data[[#This Row],[Completion_Status]]="Completed",1,0)</f>
        <v>0</v>
      </c>
      <c r="W469">
        <f>1</f>
        <v>1</v>
      </c>
      <c r="X469">
        <f>Teacher_Data[[#This Row],[End_Date]]-Teacher_Data[[#This Row],[Start_Date]]</f>
        <v>41</v>
      </c>
      <c r="Y469" t="str">
        <f>_xlfn.IFS(Teacher_Data[[#This Row],[Experience_Years]]&lt;=5,"0-5 Years",Teacher_Data[[#This Row],[Experience_Years]]&lt;=10,"5-10 Years",Teacher_Data[[#This Row],[Experience_Years]]&lt;=20,"11-20 Years",TRUE,"20+ Years")</f>
        <v>5-10 Years</v>
      </c>
    </row>
    <row r="470" spans="1:25" x14ac:dyDescent="0.3">
      <c r="A470" t="s">
        <v>1033</v>
      </c>
      <c r="B470" t="s">
        <v>145</v>
      </c>
      <c r="C470" t="s">
        <v>35</v>
      </c>
      <c r="D470">
        <v>31</v>
      </c>
      <c r="E470" t="s">
        <v>66</v>
      </c>
      <c r="F470" t="s">
        <v>83</v>
      </c>
      <c r="G470" t="s">
        <v>38</v>
      </c>
      <c r="H470" t="s">
        <v>26</v>
      </c>
      <c r="I470" t="s">
        <v>46</v>
      </c>
      <c r="J470" s="1">
        <v>45422</v>
      </c>
      <c r="K470" s="1">
        <v>45481</v>
      </c>
      <c r="L470" t="s">
        <v>52</v>
      </c>
      <c r="M470" s="2">
        <v>63</v>
      </c>
      <c r="N470">
        <v>97</v>
      </c>
      <c r="O470" t="s">
        <v>53</v>
      </c>
      <c r="P470">
        <v>12</v>
      </c>
      <c r="Q470" t="s">
        <v>30</v>
      </c>
      <c r="R470" t="s">
        <v>72</v>
      </c>
      <c r="S470" t="s">
        <v>1034</v>
      </c>
      <c r="T470">
        <v>4</v>
      </c>
      <c r="U470" t="str">
        <f>IF(Teacher_Data[[#This Row],[Completion_Status]]="Completed","Yes","No")</f>
        <v>Yes</v>
      </c>
      <c r="V470">
        <f>IF(Teacher_Data[[#This Row],[Completion_Status]]="Completed",1,0)</f>
        <v>1</v>
      </c>
      <c r="W470">
        <f>1</f>
        <v>1</v>
      </c>
      <c r="X470">
        <f>Teacher_Data[[#This Row],[End_Date]]-Teacher_Data[[#This Row],[Start_Date]]</f>
        <v>59</v>
      </c>
      <c r="Y470" t="str">
        <f>_xlfn.IFS(Teacher_Data[[#This Row],[Experience_Years]]&lt;=5,"0-5 Years",Teacher_Data[[#This Row],[Experience_Years]]&lt;=10,"5-10 Years",Teacher_Data[[#This Row],[Experience_Years]]&lt;=20,"11-20 Years",TRUE,"20+ Years")</f>
        <v>0-5 Years</v>
      </c>
    </row>
    <row r="471" spans="1:25" x14ac:dyDescent="0.3">
      <c r="A471" t="s">
        <v>1035</v>
      </c>
      <c r="B471" t="s">
        <v>75</v>
      </c>
      <c r="C471" t="s">
        <v>35</v>
      </c>
      <c r="D471">
        <v>36</v>
      </c>
      <c r="E471" t="s">
        <v>57</v>
      </c>
      <c r="F471" t="s">
        <v>24</v>
      </c>
      <c r="G471" t="s">
        <v>58</v>
      </c>
      <c r="H471" t="s">
        <v>50</v>
      </c>
      <c r="I471" t="s">
        <v>46</v>
      </c>
      <c r="J471" s="1">
        <v>45376</v>
      </c>
      <c r="K471" s="1">
        <v>45393</v>
      </c>
      <c r="L471" t="s">
        <v>28</v>
      </c>
      <c r="M471" s="2">
        <v>98</v>
      </c>
      <c r="O471" t="s">
        <v>29</v>
      </c>
      <c r="P471">
        <v>30</v>
      </c>
      <c r="Q471" t="s">
        <v>68</v>
      </c>
      <c r="R471" t="s">
        <v>62</v>
      </c>
      <c r="S471" t="s">
        <v>1036</v>
      </c>
      <c r="T471">
        <v>1</v>
      </c>
      <c r="U471" t="str">
        <f>IF(Teacher_Data[[#This Row],[Completion_Status]]="Completed","Yes","No")</f>
        <v>No</v>
      </c>
      <c r="V471">
        <f>IF(Teacher_Data[[#This Row],[Completion_Status]]="Completed",1,0)</f>
        <v>0</v>
      </c>
      <c r="W471">
        <f>1</f>
        <v>1</v>
      </c>
      <c r="X471">
        <f>Teacher_Data[[#This Row],[End_Date]]-Teacher_Data[[#This Row],[Start_Date]]</f>
        <v>17</v>
      </c>
      <c r="Y471" t="str">
        <f>_xlfn.IFS(Teacher_Data[[#This Row],[Experience_Years]]&lt;=5,"0-5 Years",Teacher_Data[[#This Row],[Experience_Years]]&lt;=10,"5-10 Years",Teacher_Data[[#This Row],[Experience_Years]]&lt;=20,"11-20 Years",TRUE,"20+ Years")</f>
        <v>0-5 Years</v>
      </c>
    </row>
    <row r="472" spans="1:25" x14ac:dyDescent="0.3">
      <c r="A472" t="s">
        <v>1037</v>
      </c>
      <c r="B472" t="s">
        <v>82</v>
      </c>
      <c r="C472" t="s">
        <v>35</v>
      </c>
      <c r="D472">
        <v>37</v>
      </c>
      <c r="E472" t="s">
        <v>66</v>
      </c>
      <c r="F472" t="s">
        <v>83</v>
      </c>
      <c r="G472" t="s">
        <v>38</v>
      </c>
      <c r="H472" t="s">
        <v>26</v>
      </c>
      <c r="I472" t="s">
        <v>46</v>
      </c>
      <c r="J472" s="1">
        <v>45301</v>
      </c>
      <c r="K472" s="1">
        <v>45314</v>
      </c>
      <c r="L472" t="s">
        <v>60</v>
      </c>
      <c r="M472" s="2">
        <v>30</v>
      </c>
      <c r="O472" t="s">
        <v>29</v>
      </c>
      <c r="P472">
        <v>21</v>
      </c>
      <c r="Q472" t="s">
        <v>68</v>
      </c>
      <c r="R472" t="s">
        <v>62</v>
      </c>
      <c r="S472" t="s">
        <v>1038</v>
      </c>
      <c r="T472">
        <v>21</v>
      </c>
      <c r="U472" t="str">
        <f>IF(Teacher_Data[[#This Row],[Completion_Status]]="Completed","Yes","No")</f>
        <v>No</v>
      </c>
      <c r="V472">
        <f>IF(Teacher_Data[[#This Row],[Completion_Status]]="Completed",1,0)</f>
        <v>0</v>
      </c>
      <c r="W472">
        <f>1</f>
        <v>1</v>
      </c>
      <c r="X472">
        <f>Teacher_Data[[#This Row],[End_Date]]-Teacher_Data[[#This Row],[Start_Date]]</f>
        <v>13</v>
      </c>
      <c r="Y472" t="str">
        <f>_xlfn.IFS(Teacher_Data[[#This Row],[Experience_Years]]&lt;=5,"0-5 Years",Teacher_Data[[#This Row],[Experience_Years]]&lt;=10,"5-10 Years",Teacher_Data[[#This Row],[Experience_Years]]&lt;=20,"11-20 Years",TRUE,"20+ Years")</f>
        <v>20+ Years</v>
      </c>
    </row>
    <row r="473" spans="1:25" x14ac:dyDescent="0.3">
      <c r="A473" t="s">
        <v>1039</v>
      </c>
      <c r="B473" t="s">
        <v>124</v>
      </c>
      <c r="C473" t="s">
        <v>22</v>
      </c>
      <c r="D473">
        <v>40</v>
      </c>
      <c r="E473" t="s">
        <v>23</v>
      </c>
      <c r="F473" t="s">
        <v>100</v>
      </c>
      <c r="G473" t="s">
        <v>38</v>
      </c>
      <c r="H473" t="s">
        <v>59</v>
      </c>
      <c r="I473" t="s">
        <v>46</v>
      </c>
      <c r="J473" s="1">
        <v>45299</v>
      </c>
      <c r="K473" s="1">
        <v>45347</v>
      </c>
      <c r="L473" t="s">
        <v>60</v>
      </c>
      <c r="M473" s="2">
        <v>17</v>
      </c>
      <c r="O473" t="s">
        <v>29</v>
      </c>
      <c r="P473">
        <v>8</v>
      </c>
      <c r="Q473" t="s">
        <v>68</v>
      </c>
      <c r="R473" t="s">
        <v>31</v>
      </c>
      <c r="S473" t="s">
        <v>1040</v>
      </c>
      <c r="T473">
        <v>15</v>
      </c>
      <c r="U473" t="str">
        <f>IF(Teacher_Data[[#This Row],[Completion_Status]]="Completed","Yes","No")</f>
        <v>No</v>
      </c>
      <c r="V473">
        <f>IF(Teacher_Data[[#This Row],[Completion_Status]]="Completed",1,0)</f>
        <v>0</v>
      </c>
      <c r="W473">
        <f>1</f>
        <v>1</v>
      </c>
      <c r="X473">
        <f>Teacher_Data[[#This Row],[End_Date]]-Teacher_Data[[#This Row],[Start_Date]]</f>
        <v>48</v>
      </c>
      <c r="Y473" t="str">
        <f>_xlfn.IFS(Teacher_Data[[#This Row],[Experience_Years]]&lt;=5,"0-5 Years",Teacher_Data[[#This Row],[Experience_Years]]&lt;=10,"5-10 Years",Teacher_Data[[#This Row],[Experience_Years]]&lt;=20,"11-20 Years",TRUE,"20+ Years")</f>
        <v>11-20 Years</v>
      </c>
    </row>
    <row r="474" spans="1:25" x14ac:dyDescent="0.3">
      <c r="A474" t="s">
        <v>1041</v>
      </c>
      <c r="B474" t="s">
        <v>21</v>
      </c>
      <c r="C474" t="s">
        <v>22</v>
      </c>
      <c r="D474">
        <v>38</v>
      </c>
      <c r="E474" t="s">
        <v>66</v>
      </c>
      <c r="F474" t="s">
        <v>24</v>
      </c>
      <c r="G474" t="s">
        <v>25</v>
      </c>
      <c r="H474" t="s">
        <v>59</v>
      </c>
      <c r="I474" t="s">
        <v>46</v>
      </c>
      <c r="J474" s="1">
        <v>45438</v>
      </c>
      <c r="K474" s="1">
        <v>45494</v>
      </c>
      <c r="L474" t="s">
        <v>60</v>
      </c>
      <c r="M474" s="2">
        <v>12</v>
      </c>
      <c r="O474" t="s">
        <v>29</v>
      </c>
      <c r="P474">
        <v>59</v>
      </c>
      <c r="Q474" t="s">
        <v>68</v>
      </c>
      <c r="R474" t="s">
        <v>41</v>
      </c>
      <c r="S474" t="s">
        <v>1042</v>
      </c>
      <c r="T474">
        <v>10</v>
      </c>
      <c r="U474" t="str">
        <f>IF(Teacher_Data[[#This Row],[Completion_Status]]="Completed","Yes","No")</f>
        <v>No</v>
      </c>
      <c r="V474">
        <f>IF(Teacher_Data[[#This Row],[Completion_Status]]="Completed",1,0)</f>
        <v>0</v>
      </c>
      <c r="W474">
        <f>1</f>
        <v>1</v>
      </c>
      <c r="X474">
        <f>Teacher_Data[[#This Row],[End_Date]]-Teacher_Data[[#This Row],[Start_Date]]</f>
        <v>56</v>
      </c>
      <c r="Y474" t="str">
        <f>_xlfn.IFS(Teacher_Data[[#This Row],[Experience_Years]]&lt;=5,"0-5 Years",Teacher_Data[[#This Row],[Experience_Years]]&lt;=10,"5-10 Years",Teacher_Data[[#This Row],[Experience_Years]]&lt;=20,"11-20 Years",TRUE,"20+ Years")</f>
        <v>5-10 Years</v>
      </c>
    </row>
    <row r="475" spans="1:25" x14ac:dyDescent="0.3">
      <c r="A475" t="s">
        <v>1043</v>
      </c>
      <c r="B475" t="s">
        <v>110</v>
      </c>
      <c r="C475" t="s">
        <v>22</v>
      </c>
      <c r="D475">
        <v>44</v>
      </c>
      <c r="E475" t="s">
        <v>36</v>
      </c>
      <c r="F475" t="s">
        <v>37</v>
      </c>
      <c r="G475" t="s">
        <v>76</v>
      </c>
      <c r="H475" t="s">
        <v>39</v>
      </c>
      <c r="I475" t="s">
        <v>51</v>
      </c>
      <c r="J475" s="1">
        <v>45531</v>
      </c>
      <c r="K475" s="1">
        <v>45545</v>
      </c>
      <c r="L475" t="s">
        <v>60</v>
      </c>
      <c r="M475" s="2">
        <v>26</v>
      </c>
      <c r="O475" t="s">
        <v>29</v>
      </c>
      <c r="P475">
        <v>20</v>
      </c>
      <c r="Q475" t="s">
        <v>68</v>
      </c>
      <c r="R475" t="s">
        <v>72</v>
      </c>
      <c r="S475" t="s">
        <v>1044</v>
      </c>
      <c r="T475">
        <v>6</v>
      </c>
      <c r="U475" t="str">
        <f>IF(Teacher_Data[[#This Row],[Completion_Status]]="Completed","Yes","No")</f>
        <v>No</v>
      </c>
      <c r="V475">
        <f>IF(Teacher_Data[[#This Row],[Completion_Status]]="Completed",1,0)</f>
        <v>0</v>
      </c>
      <c r="W475">
        <f>1</f>
        <v>1</v>
      </c>
      <c r="X475">
        <f>Teacher_Data[[#This Row],[End_Date]]-Teacher_Data[[#This Row],[Start_Date]]</f>
        <v>14</v>
      </c>
      <c r="Y475" t="str">
        <f>_xlfn.IFS(Teacher_Data[[#This Row],[Experience_Years]]&lt;=5,"0-5 Years",Teacher_Data[[#This Row],[Experience_Years]]&lt;=10,"5-10 Years",Teacher_Data[[#This Row],[Experience_Years]]&lt;=20,"11-20 Years",TRUE,"20+ Years")</f>
        <v>5-10 Years</v>
      </c>
    </row>
    <row r="476" spans="1:25" x14ac:dyDescent="0.3">
      <c r="A476" t="s">
        <v>1045</v>
      </c>
      <c r="B476" t="s">
        <v>56</v>
      </c>
      <c r="C476" t="s">
        <v>35</v>
      </c>
      <c r="D476">
        <v>50</v>
      </c>
      <c r="E476" t="s">
        <v>66</v>
      </c>
      <c r="F476" t="s">
        <v>67</v>
      </c>
      <c r="G476" t="s">
        <v>58</v>
      </c>
      <c r="H476" t="s">
        <v>39</v>
      </c>
      <c r="I476" t="s">
        <v>27</v>
      </c>
      <c r="J476" s="1">
        <v>45354</v>
      </c>
      <c r="K476" s="1">
        <v>45361</v>
      </c>
      <c r="L476" t="s">
        <v>28</v>
      </c>
      <c r="M476" s="2">
        <v>52</v>
      </c>
      <c r="O476" t="s">
        <v>29</v>
      </c>
      <c r="P476">
        <v>36</v>
      </c>
      <c r="Q476" t="s">
        <v>61</v>
      </c>
      <c r="R476" t="s">
        <v>41</v>
      </c>
      <c r="S476" t="s">
        <v>1046</v>
      </c>
      <c r="T476">
        <v>20</v>
      </c>
      <c r="U476" t="str">
        <f>IF(Teacher_Data[[#This Row],[Completion_Status]]="Completed","Yes","No")</f>
        <v>No</v>
      </c>
      <c r="V476">
        <f>IF(Teacher_Data[[#This Row],[Completion_Status]]="Completed",1,0)</f>
        <v>0</v>
      </c>
      <c r="W476">
        <f>1</f>
        <v>1</v>
      </c>
      <c r="X476">
        <f>Teacher_Data[[#This Row],[End_Date]]-Teacher_Data[[#This Row],[Start_Date]]</f>
        <v>7</v>
      </c>
      <c r="Y476" t="str">
        <f>_xlfn.IFS(Teacher_Data[[#This Row],[Experience_Years]]&lt;=5,"0-5 Years",Teacher_Data[[#This Row],[Experience_Years]]&lt;=10,"5-10 Years",Teacher_Data[[#This Row],[Experience_Years]]&lt;=20,"11-20 Years",TRUE,"20+ Years")</f>
        <v>11-20 Years</v>
      </c>
    </row>
    <row r="477" spans="1:25" x14ac:dyDescent="0.3">
      <c r="A477" t="s">
        <v>1047</v>
      </c>
      <c r="B477" t="s">
        <v>94</v>
      </c>
      <c r="C477" t="s">
        <v>22</v>
      </c>
      <c r="D477">
        <v>57</v>
      </c>
      <c r="E477" t="s">
        <v>57</v>
      </c>
      <c r="F477" t="s">
        <v>83</v>
      </c>
      <c r="G477" t="s">
        <v>25</v>
      </c>
      <c r="H477" t="s">
        <v>26</v>
      </c>
      <c r="I477" t="s">
        <v>46</v>
      </c>
      <c r="J477" s="1">
        <v>45531</v>
      </c>
      <c r="K477" s="1">
        <v>45583</v>
      </c>
      <c r="L477" t="s">
        <v>28</v>
      </c>
      <c r="M477" s="2">
        <v>52</v>
      </c>
      <c r="O477" t="s">
        <v>29</v>
      </c>
      <c r="P477">
        <v>33</v>
      </c>
      <c r="Q477" t="s">
        <v>61</v>
      </c>
      <c r="R477" t="s">
        <v>41</v>
      </c>
      <c r="S477" t="s">
        <v>1048</v>
      </c>
      <c r="T477">
        <v>21</v>
      </c>
      <c r="U477" t="str">
        <f>IF(Teacher_Data[[#This Row],[Completion_Status]]="Completed","Yes","No")</f>
        <v>No</v>
      </c>
      <c r="V477">
        <f>IF(Teacher_Data[[#This Row],[Completion_Status]]="Completed",1,0)</f>
        <v>0</v>
      </c>
      <c r="W477">
        <f>1</f>
        <v>1</v>
      </c>
      <c r="X477">
        <f>Teacher_Data[[#This Row],[End_Date]]-Teacher_Data[[#This Row],[Start_Date]]</f>
        <v>52</v>
      </c>
      <c r="Y477" t="str">
        <f>_xlfn.IFS(Teacher_Data[[#This Row],[Experience_Years]]&lt;=5,"0-5 Years",Teacher_Data[[#This Row],[Experience_Years]]&lt;=10,"5-10 Years",Teacher_Data[[#This Row],[Experience_Years]]&lt;=20,"11-20 Years",TRUE,"20+ Years")</f>
        <v>20+ Years</v>
      </c>
    </row>
    <row r="478" spans="1:25" x14ac:dyDescent="0.3">
      <c r="A478" t="s">
        <v>1049</v>
      </c>
      <c r="B478" t="s">
        <v>191</v>
      </c>
      <c r="C478" t="s">
        <v>35</v>
      </c>
      <c r="D478">
        <v>60</v>
      </c>
      <c r="E478" t="s">
        <v>23</v>
      </c>
      <c r="F478" t="s">
        <v>37</v>
      </c>
      <c r="G478" t="s">
        <v>58</v>
      </c>
      <c r="H478" t="s">
        <v>26</v>
      </c>
      <c r="I478" t="s">
        <v>51</v>
      </c>
      <c r="J478" s="1">
        <v>45441</v>
      </c>
      <c r="K478" s="1">
        <v>45475</v>
      </c>
      <c r="L478" t="s">
        <v>52</v>
      </c>
      <c r="M478" s="2">
        <v>88</v>
      </c>
      <c r="N478">
        <v>59</v>
      </c>
      <c r="O478" t="s">
        <v>53</v>
      </c>
      <c r="P478">
        <v>39</v>
      </c>
      <c r="Q478" t="s">
        <v>30</v>
      </c>
      <c r="R478" t="s">
        <v>72</v>
      </c>
      <c r="S478" t="s">
        <v>1050</v>
      </c>
      <c r="T478">
        <v>25</v>
      </c>
      <c r="U478" t="str">
        <f>IF(Teacher_Data[[#This Row],[Completion_Status]]="Completed","Yes","No")</f>
        <v>Yes</v>
      </c>
      <c r="V478">
        <f>IF(Teacher_Data[[#This Row],[Completion_Status]]="Completed",1,0)</f>
        <v>1</v>
      </c>
      <c r="W478">
        <f>1</f>
        <v>1</v>
      </c>
      <c r="X478">
        <f>Teacher_Data[[#This Row],[End_Date]]-Teacher_Data[[#This Row],[Start_Date]]</f>
        <v>34</v>
      </c>
      <c r="Y478" t="str">
        <f>_xlfn.IFS(Teacher_Data[[#This Row],[Experience_Years]]&lt;=5,"0-5 Years",Teacher_Data[[#This Row],[Experience_Years]]&lt;=10,"5-10 Years",Teacher_Data[[#This Row],[Experience_Years]]&lt;=20,"11-20 Years",TRUE,"20+ Years")</f>
        <v>20+ Years</v>
      </c>
    </row>
    <row r="479" spans="1:25" x14ac:dyDescent="0.3">
      <c r="A479" t="s">
        <v>1051</v>
      </c>
      <c r="B479" t="s">
        <v>191</v>
      </c>
      <c r="C479" t="s">
        <v>35</v>
      </c>
      <c r="D479">
        <v>32</v>
      </c>
      <c r="E479" t="s">
        <v>57</v>
      </c>
      <c r="F479" t="s">
        <v>24</v>
      </c>
      <c r="G479" t="s">
        <v>58</v>
      </c>
      <c r="H479" t="s">
        <v>39</v>
      </c>
      <c r="I479" t="s">
        <v>46</v>
      </c>
      <c r="J479" s="1">
        <v>45481</v>
      </c>
      <c r="K479" s="1">
        <v>45514</v>
      </c>
      <c r="L479" t="s">
        <v>60</v>
      </c>
      <c r="M479" s="2">
        <v>40</v>
      </c>
      <c r="O479" t="s">
        <v>29</v>
      </c>
      <c r="P479">
        <v>33</v>
      </c>
      <c r="Q479" t="s">
        <v>40</v>
      </c>
      <c r="R479" t="s">
        <v>62</v>
      </c>
      <c r="S479" t="s">
        <v>1052</v>
      </c>
      <c r="T479">
        <v>27</v>
      </c>
      <c r="U479" t="str">
        <f>IF(Teacher_Data[[#This Row],[Completion_Status]]="Completed","Yes","No")</f>
        <v>No</v>
      </c>
      <c r="V479">
        <f>IF(Teacher_Data[[#This Row],[Completion_Status]]="Completed",1,0)</f>
        <v>0</v>
      </c>
      <c r="W479">
        <f>1</f>
        <v>1</v>
      </c>
      <c r="X479">
        <f>Teacher_Data[[#This Row],[End_Date]]-Teacher_Data[[#This Row],[Start_Date]]</f>
        <v>33</v>
      </c>
      <c r="Y479" t="str">
        <f>_xlfn.IFS(Teacher_Data[[#This Row],[Experience_Years]]&lt;=5,"0-5 Years",Teacher_Data[[#This Row],[Experience_Years]]&lt;=10,"5-10 Years",Teacher_Data[[#This Row],[Experience_Years]]&lt;=20,"11-20 Years",TRUE,"20+ Years")</f>
        <v>20+ Years</v>
      </c>
    </row>
    <row r="480" spans="1:25" x14ac:dyDescent="0.3">
      <c r="A480" t="s">
        <v>1053</v>
      </c>
      <c r="B480" t="s">
        <v>86</v>
      </c>
      <c r="C480" t="s">
        <v>35</v>
      </c>
      <c r="D480">
        <v>24</v>
      </c>
      <c r="E480" t="s">
        <v>66</v>
      </c>
      <c r="F480" t="s">
        <v>24</v>
      </c>
      <c r="G480" t="s">
        <v>58</v>
      </c>
      <c r="H480" t="s">
        <v>50</v>
      </c>
      <c r="I480" t="s">
        <v>46</v>
      </c>
      <c r="J480" s="1">
        <v>45327</v>
      </c>
      <c r="K480" s="1">
        <v>45385</v>
      </c>
      <c r="L480" t="s">
        <v>60</v>
      </c>
      <c r="M480" s="2">
        <v>35</v>
      </c>
      <c r="O480" t="s">
        <v>29</v>
      </c>
      <c r="P480">
        <v>21</v>
      </c>
      <c r="Q480" t="s">
        <v>40</v>
      </c>
      <c r="R480" t="s">
        <v>72</v>
      </c>
      <c r="S480" t="s">
        <v>1054</v>
      </c>
      <c r="T480">
        <v>14</v>
      </c>
      <c r="U480" t="str">
        <f>IF(Teacher_Data[[#This Row],[Completion_Status]]="Completed","Yes","No")</f>
        <v>No</v>
      </c>
      <c r="V480">
        <f>IF(Teacher_Data[[#This Row],[Completion_Status]]="Completed",1,0)</f>
        <v>0</v>
      </c>
      <c r="W480">
        <f>1</f>
        <v>1</v>
      </c>
      <c r="X480">
        <f>Teacher_Data[[#This Row],[End_Date]]-Teacher_Data[[#This Row],[Start_Date]]</f>
        <v>58</v>
      </c>
      <c r="Y480" t="str">
        <f>_xlfn.IFS(Teacher_Data[[#This Row],[Experience_Years]]&lt;=5,"0-5 Years",Teacher_Data[[#This Row],[Experience_Years]]&lt;=10,"5-10 Years",Teacher_Data[[#This Row],[Experience_Years]]&lt;=20,"11-20 Years",TRUE,"20+ Years")</f>
        <v>11-20 Years</v>
      </c>
    </row>
    <row r="481" spans="1:25" x14ac:dyDescent="0.3">
      <c r="A481" t="s">
        <v>1055</v>
      </c>
      <c r="B481" t="s">
        <v>176</v>
      </c>
      <c r="C481" t="s">
        <v>35</v>
      </c>
      <c r="D481">
        <v>25</v>
      </c>
      <c r="E481" t="s">
        <v>66</v>
      </c>
      <c r="F481" t="s">
        <v>67</v>
      </c>
      <c r="G481" t="s">
        <v>25</v>
      </c>
      <c r="H481" t="s">
        <v>39</v>
      </c>
      <c r="I481" t="s">
        <v>27</v>
      </c>
      <c r="J481" s="1">
        <v>45497</v>
      </c>
      <c r="K481" s="1">
        <v>45528</v>
      </c>
      <c r="L481" t="s">
        <v>28</v>
      </c>
      <c r="M481" s="2">
        <v>100</v>
      </c>
      <c r="O481" t="s">
        <v>29</v>
      </c>
      <c r="P481">
        <v>25</v>
      </c>
      <c r="Q481" t="s">
        <v>68</v>
      </c>
      <c r="R481" t="s">
        <v>62</v>
      </c>
      <c r="S481" t="s">
        <v>1056</v>
      </c>
      <c r="T481">
        <v>7</v>
      </c>
      <c r="U481" t="str">
        <f>IF(Teacher_Data[[#This Row],[Completion_Status]]="Completed","Yes","No")</f>
        <v>No</v>
      </c>
      <c r="V481">
        <f>IF(Teacher_Data[[#This Row],[Completion_Status]]="Completed",1,0)</f>
        <v>0</v>
      </c>
      <c r="W481">
        <f>1</f>
        <v>1</v>
      </c>
      <c r="X481">
        <f>Teacher_Data[[#This Row],[End_Date]]-Teacher_Data[[#This Row],[Start_Date]]</f>
        <v>31</v>
      </c>
      <c r="Y481" t="str">
        <f>_xlfn.IFS(Teacher_Data[[#This Row],[Experience_Years]]&lt;=5,"0-5 Years",Teacher_Data[[#This Row],[Experience_Years]]&lt;=10,"5-10 Years",Teacher_Data[[#This Row],[Experience_Years]]&lt;=20,"11-20 Years",TRUE,"20+ Years")</f>
        <v>5-10 Years</v>
      </c>
    </row>
    <row r="482" spans="1:25" x14ac:dyDescent="0.3">
      <c r="A482" t="s">
        <v>1057</v>
      </c>
      <c r="B482" t="s">
        <v>89</v>
      </c>
      <c r="C482" t="s">
        <v>22</v>
      </c>
      <c r="D482">
        <v>44</v>
      </c>
      <c r="E482" t="s">
        <v>23</v>
      </c>
      <c r="F482" t="s">
        <v>100</v>
      </c>
      <c r="G482" t="s">
        <v>45</v>
      </c>
      <c r="H482" t="s">
        <v>59</v>
      </c>
      <c r="I482" t="s">
        <v>46</v>
      </c>
      <c r="J482" s="1">
        <v>45574</v>
      </c>
      <c r="K482" s="1">
        <v>45581</v>
      </c>
      <c r="L482" t="s">
        <v>28</v>
      </c>
      <c r="M482" s="2">
        <v>44</v>
      </c>
      <c r="O482" t="s">
        <v>29</v>
      </c>
      <c r="P482">
        <v>9</v>
      </c>
      <c r="Q482" t="s">
        <v>68</v>
      </c>
      <c r="R482" t="s">
        <v>104</v>
      </c>
      <c r="S482" t="s">
        <v>1058</v>
      </c>
      <c r="T482">
        <v>15</v>
      </c>
      <c r="U482" t="str">
        <f>IF(Teacher_Data[[#This Row],[Completion_Status]]="Completed","Yes","No")</f>
        <v>No</v>
      </c>
      <c r="V482">
        <f>IF(Teacher_Data[[#This Row],[Completion_Status]]="Completed",1,0)</f>
        <v>0</v>
      </c>
      <c r="W482">
        <f>1</f>
        <v>1</v>
      </c>
      <c r="X482">
        <f>Teacher_Data[[#This Row],[End_Date]]-Teacher_Data[[#This Row],[Start_Date]]</f>
        <v>7</v>
      </c>
      <c r="Y482" t="str">
        <f>_xlfn.IFS(Teacher_Data[[#This Row],[Experience_Years]]&lt;=5,"0-5 Years",Teacher_Data[[#This Row],[Experience_Years]]&lt;=10,"5-10 Years",Teacher_Data[[#This Row],[Experience_Years]]&lt;=20,"11-20 Years",TRUE,"20+ Years")</f>
        <v>11-20 Years</v>
      </c>
    </row>
    <row r="483" spans="1:25" x14ac:dyDescent="0.3">
      <c r="A483" t="s">
        <v>1059</v>
      </c>
      <c r="B483" t="s">
        <v>86</v>
      </c>
      <c r="C483" t="s">
        <v>35</v>
      </c>
      <c r="D483">
        <v>54</v>
      </c>
      <c r="E483" t="s">
        <v>23</v>
      </c>
      <c r="F483" t="s">
        <v>24</v>
      </c>
      <c r="G483" t="s">
        <v>25</v>
      </c>
      <c r="H483" t="s">
        <v>59</v>
      </c>
      <c r="I483" t="s">
        <v>27</v>
      </c>
      <c r="J483" s="1">
        <v>45395</v>
      </c>
      <c r="K483" s="1">
        <v>45446</v>
      </c>
      <c r="L483" t="s">
        <v>52</v>
      </c>
      <c r="M483" s="2">
        <v>98</v>
      </c>
      <c r="N483">
        <v>91</v>
      </c>
      <c r="O483" t="s">
        <v>53</v>
      </c>
      <c r="P483">
        <v>7</v>
      </c>
      <c r="Q483" t="s">
        <v>61</v>
      </c>
      <c r="R483" t="s">
        <v>104</v>
      </c>
      <c r="S483" t="s">
        <v>1060</v>
      </c>
      <c r="T483">
        <v>28</v>
      </c>
      <c r="U483" t="str">
        <f>IF(Teacher_Data[[#This Row],[Completion_Status]]="Completed","Yes","No")</f>
        <v>Yes</v>
      </c>
      <c r="V483">
        <f>IF(Teacher_Data[[#This Row],[Completion_Status]]="Completed",1,0)</f>
        <v>1</v>
      </c>
      <c r="W483">
        <f>1</f>
        <v>1</v>
      </c>
      <c r="X483">
        <f>Teacher_Data[[#This Row],[End_Date]]-Teacher_Data[[#This Row],[Start_Date]]</f>
        <v>51</v>
      </c>
      <c r="Y483" t="str">
        <f>_xlfn.IFS(Teacher_Data[[#This Row],[Experience_Years]]&lt;=5,"0-5 Years",Teacher_Data[[#This Row],[Experience_Years]]&lt;=10,"5-10 Years",Teacher_Data[[#This Row],[Experience_Years]]&lt;=20,"11-20 Years",TRUE,"20+ Years")</f>
        <v>20+ Years</v>
      </c>
    </row>
    <row r="484" spans="1:25" x14ac:dyDescent="0.3">
      <c r="A484" t="s">
        <v>1061</v>
      </c>
      <c r="B484" t="s">
        <v>417</v>
      </c>
      <c r="C484" t="s">
        <v>35</v>
      </c>
      <c r="D484">
        <v>26</v>
      </c>
      <c r="E484" t="s">
        <v>66</v>
      </c>
      <c r="F484" t="s">
        <v>67</v>
      </c>
      <c r="G484" t="s">
        <v>45</v>
      </c>
      <c r="H484" t="s">
        <v>59</v>
      </c>
      <c r="I484" t="s">
        <v>27</v>
      </c>
      <c r="J484" s="1">
        <v>45454</v>
      </c>
      <c r="K484" s="1">
        <v>45461</v>
      </c>
      <c r="L484" t="s">
        <v>28</v>
      </c>
      <c r="M484" s="2">
        <v>83</v>
      </c>
      <c r="O484" t="s">
        <v>29</v>
      </c>
      <c r="P484">
        <v>48</v>
      </c>
      <c r="Q484" t="s">
        <v>68</v>
      </c>
      <c r="R484" t="s">
        <v>104</v>
      </c>
      <c r="S484" t="s">
        <v>1062</v>
      </c>
      <c r="T484">
        <v>35</v>
      </c>
      <c r="U484" t="str">
        <f>IF(Teacher_Data[[#This Row],[Completion_Status]]="Completed","Yes","No")</f>
        <v>No</v>
      </c>
      <c r="V484">
        <f>IF(Teacher_Data[[#This Row],[Completion_Status]]="Completed",1,0)</f>
        <v>0</v>
      </c>
      <c r="W484">
        <f>1</f>
        <v>1</v>
      </c>
      <c r="X484">
        <f>Teacher_Data[[#This Row],[End_Date]]-Teacher_Data[[#This Row],[Start_Date]]</f>
        <v>7</v>
      </c>
      <c r="Y484" t="str">
        <f>_xlfn.IFS(Teacher_Data[[#This Row],[Experience_Years]]&lt;=5,"0-5 Years",Teacher_Data[[#This Row],[Experience_Years]]&lt;=10,"5-10 Years",Teacher_Data[[#This Row],[Experience_Years]]&lt;=20,"11-20 Years",TRUE,"20+ Years")</f>
        <v>20+ Years</v>
      </c>
    </row>
    <row r="485" spans="1:25" x14ac:dyDescent="0.3">
      <c r="A485" t="s">
        <v>1063</v>
      </c>
      <c r="B485" t="s">
        <v>185</v>
      </c>
      <c r="C485" t="s">
        <v>35</v>
      </c>
      <c r="D485">
        <v>31</v>
      </c>
      <c r="E485" t="s">
        <v>36</v>
      </c>
      <c r="F485" t="s">
        <v>67</v>
      </c>
      <c r="G485" t="s">
        <v>76</v>
      </c>
      <c r="H485" t="s">
        <v>59</v>
      </c>
      <c r="I485" t="s">
        <v>46</v>
      </c>
      <c r="J485" s="1">
        <v>45489</v>
      </c>
      <c r="K485" s="1">
        <v>45539</v>
      </c>
      <c r="L485" t="s">
        <v>60</v>
      </c>
      <c r="M485" s="2">
        <v>26</v>
      </c>
      <c r="O485" t="s">
        <v>29</v>
      </c>
      <c r="P485">
        <v>56</v>
      </c>
      <c r="Q485" t="s">
        <v>30</v>
      </c>
      <c r="R485" t="s">
        <v>41</v>
      </c>
      <c r="S485" t="s">
        <v>1064</v>
      </c>
      <c r="T485">
        <v>8</v>
      </c>
      <c r="U485" t="str">
        <f>IF(Teacher_Data[[#This Row],[Completion_Status]]="Completed","Yes","No")</f>
        <v>No</v>
      </c>
      <c r="V485">
        <f>IF(Teacher_Data[[#This Row],[Completion_Status]]="Completed",1,0)</f>
        <v>0</v>
      </c>
      <c r="W485">
        <f>1</f>
        <v>1</v>
      </c>
      <c r="X485">
        <f>Teacher_Data[[#This Row],[End_Date]]-Teacher_Data[[#This Row],[Start_Date]]</f>
        <v>50</v>
      </c>
      <c r="Y485" t="str">
        <f>_xlfn.IFS(Teacher_Data[[#This Row],[Experience_Years]]&lt;=5,"0-5 Years",Teacher_Data[[#This Row],[Experience_Years]]&lt;=10,"5-10 Years",Teacher_Data[[#This Row],[Experience_Years]]&lt;=20,"11-20 Years",TRUE,"20+ Years")</f>
        <v>5-10 Years</v>
      </c>
    </row>
    <row r="486" spans="1:25" x14ac:dyDescent="0.3">
      <c r="A486" t="s">
        <v>1065</v>
      </c>
      <c r="B486" t="s">
        <v>34</v>
      </c>
      <c r="C486" t="s">
        <v>35</v>
      </c>
      <c r="D486">
        <v>50</v>
      </c>
      <c r="E486" t="s">
        <v>36</v>
      </c>
      <c r="F486" t="s">
        <v>100</v>
      </c>
      <c r="G486" t="s">
        <v>45</v>
      </c>
      <c r="H486" t="s">
        <v>26</v>
      </c>
      <c r="I486" t="s">
        <v>46</v>
      </c>
      <c r="J486" s="1">
        <v>45440</v>
      </c>
      <c r="K486" s="1">
        <v>45451</v>
      </c>
      <c r="L486" t="s">
        <v>60</v>
      </c>
      <c r="M486" s="2">
        <v>40</v>
      </c>
      <c r="O486" t="s">
        <v>29</v>
      </c>
      <c r="P486">
        <v>51</v>
      </c>
      <c r="Q486" t="s">
        <v>40</v>
      </c>
      <c r="R486" t="s">
        <v>31</v>
      </c>
      <c r="S486" t="s">
        <v>1066</v>
      </c>
      <c r="T486">
        <v>1</v>
      </c>
      <c r="U486" t="str">
        <f>IF(Teacher_Data[[#This Row],[Completion_Status]]="Completed","Yes","No")</f>
        <v>No</v>
      </c>
      <c r="V486">
        <f>IF(Teacher_Data[[#This Row],[Completion_Status]]="Completed",1,0)</f>
        <v>0</v>
      </c>
      <c r="W486">
        <f>1</f>
        <v>1</v>
      </c>
      <c r="X486">
        <f>Teacher_Data[[#This Row],[End_Date]]-Teacher_Data[[#This Row],[Start_Date]]</f>
        <v>11</v>
      </c>
      <c r="Y486" t="str">
        <f>_xlfn.IFS(Teacher_Data[[#This Row],[Experience_Years]]&lt;=5,"0-5 Years",Teacher_Data[[#This Row],[Experience_Years]]&lt;=10,"5-10 Years",Teacher_Data[[#This Row],[Experience_Years]]&lt;=20,"11-20 Years",TRUE,"20+ Years")</f>
        <v>0-5 Years</v>
      </c>
    </row>
    <row r="487" spans="1:25" x14ac:dyDescent="0.3">
      <c r="A487" t="s">
        <v>1067</v>
      </c>
      <c r="B487" t="s">
        <v>103</v>
      </c>
      <c r="C487" t="s">
        <v>22</v>
      </c>
      <c r="D487">
        <v>57</v>
      </c>
      <c r="E487" t="s">
        <v>23</v>
      </c>
      <c r="F487" t="s">
        <v>83</v>
      </c>
      <c r="G487" t="s">
        <v>38</v>
      </c>
      <c r="H487" t="s">
        <v>50</v>
      </c>
      <c r="I487" t="s">
        <v>27</v>
      </c>
      <c r="J487" s="1">
        <v>45423</v>
      </c>
      <c r="K487" s="1">
        <v>45452</v>
      </c>
      <c r="L487" t="s">
        <v>60</v>
      </c>
      <c r="M487" s="2">
        <v>14</v>
      </c>
      <c r="O487" t="s">
        <v>29</v>
      </c>
      <c r="P487">
        <v>17</v>
      </c>
      <c r="Q487" t="s">
        <v>40</v>
      </c>
      <c r="R487" t="s">
        <v>31</v>
      </c>
      <c r="S487" t="s">
        <v>1068</v>
      </c>
      <c r="T487">
        <v>8</v>
      </c>
      <c r="U487" t="str">
        <f>IF(Teacher_Data[[#This Row],[Completion_Status]]="Completed","Yes","No")</f>
        <v>No</v>
      </c>
      <c r="V487">
        <f>IF(Teacher_Data[[#This Row],[Completion_Status]]="Completed",1,0)</f>
        <v>0</v>
      </c>
      <c r="W487">
        <f>1</f>
        <v>1</v>
      </c>
      <c r="X487">
        <f>Teacher_Data[[#This Row],[End_Date]]-Teacher_Data[[#This Row],[Start_Date]]</f>
        <v>29</v>
      </c>
      <c r="Y487" t="str">
        <f>_xlfn.IFS(Teacher_Data[[#This Row],[Experience_Years]]&lt;=5,"0-5 Years",Teacher_Data[[#This Row],[Experience_Years]]&lt;=10,"5-10 Years",Teacher_Data[[#This Row],[Experience_Years]]&lt;=20,"11-20 Years",TRUE,"20+ Years")</f>
        <v>5-10 Years</v>
      </c>
    </row>
    <row r="488" spans="1:25" x14ac:dyDescent="0.3">
      <c r="A488" t="s">
        <v>1069</v>
      </c>
      <c r="B488" t="s">
        <v>110</v>
      </c>
      <c r="C488" t="s">
        <v>35</v>
      </c>
      <c r="D488">
        <v>46</v>
      </c>
      <c r="E488" t="s">
        <v>36</v>
      </c>
      <c r="F488" t="s">
        <v>24</v>
      </c>
      <c r="G488" t="s">
        <v>45</v>
      </c>
      <c r="H488" t="s">
        <v>26</v>
      </c>
      <c r="I488" t="s">
        <v>51</v>
      </c>
      <c r="J488" s="1">
        <v>45454</v>
      </c>
      <c r="K488" s="1">
        <v>45482</v>
      </c>
      <c r="L488" t="s">
        <v>60</v>
      </c>
      <c r="M488" s="2">
        <v>16</v>
      </c>
      <c r="O488" t="s">
        <v>29</v>
      </c>
      <c r="P488">
        <v>60</v>
      </c>
      <c r="Q488" t="s">
        <v>30</v>
      </c>
      <c r="R488" t="s">
        <v>104</v>
      </c>
      <c r="S488" t="s">
        <v>1070</v>
      </c>
      <c r="T488">
        <v>34</v>
      </c>
      <c r="U488" t="str">
        <f>IF(Teacher_Data[[#This Row],[Completion_Status]]="Completed","Yes","No")</f>
        <v>No</v>
      </c>
      <c r="V488">
        <f>IF(Teacher_Data[[#This Row],[Completion_Status]]="Completed",1,0)</f>
        <v>0</v>
      </c>
      <c r="W488">
        <f>1</f>
        <v>1</v>
      </c>
      <c r="X488">
        <f>Teacher_Data[[#This Row],[End_Date]]-Teacher_Data[[#This Row],[Start_Date]]</f>
        <v>28</v>
      </c>
      <c r="Y488" t="str">
        <f>_xlfn.IFS(Teacher_Data[[#This Row],[Experience_Years]]&lt;=5,"0-5 Years",Teacher_Data[[#This Row],[Experience_Years]]&lt;=10,"5-10 Years",Teacher_Data[[#This Row],[Experience_Years]]&lt;=20,"11-20 Years",TRUE,"20+ Years")</f>
        <v>20+ Years</v>
      </c>
    </row>
    <row r="489" spans="1:25" x14ac:dyDescent="0.3">
      <c r="A489" t="s">
        <v>1071</v>
      </c>
      <c r="B489" t="s">
        <v>103</v>
      </c>
      <c r="C489" t="s">
        <v>22</v>
      </c>
      <c r="D489">
        <v>22</v>
      </c>
      <c r="E489" t="s">
        <v>66</v>
      </c>
      <c r="F489" t="s">
        <v>37</v>
      </c>
      <c r="G489" t="s">
        <v>58</v>
      </c>
      <c r="H489" t="s">
        <v>59</v>
      </c>
      <c r="I489" t="s">
        <v>51</v>
      </c>
      <c r="J489" s="1">
        <v>45439</v>
      </c>
      <c r="K489" s="1">
        <v>45459</v>
      </c>
      <c r="L489" t="s">
        <v>60</v>
      </c>
      <c r="M489" s="2">
        <v>28</v>
      </c>
      <c r="O489" t="s">
        <v>29</v>
      </c>
      <c r="P489">
        <v>45</v>
      </c>
      <c r="Q489" t="s">
        <v>40</v>
      </c>
      <c r="R489" t="s">
        <v>72</v>
      </c>
      <c r="S489" t="s">
        <v>1072</v>
      </c>
      <c r="T489">
        <v>9</v>
      </c>
      <c r="U489" t="str">
        <f>IF(Teacher_Data[[#This Row],[Completion_Status]]="Completed","Yes","No")</f>
        <v>No</v>
      </c>
      <c r="V489">
        <f>IF(Teacher_Data[[#This Row],[Completion_Status]]="Completed",1,0)</f>
        <v>0</v>
      </c>
      <c r="W489">
        <f>1</f>
        <v>1</v>
      </c>
      <c r="X489">
        <f>Teacher_Data[[#This Row],[End_Date]]-Teacher_Data[[#This Row],[Start_Date]]</f>
        <v>20</v>
      </c>
      <c r="Y489" t="str">
        <f>_xlfn.IFS(Teacher_Data[[#This Row],[Experience_Years]]&lt;=5,"0-5 Years",Teacher_Data[[#This Row],[Experience_Years]]&lt;=10,"5-10 Years",Teacher_Data[[#This Row],[Experience_Years]]&lt;=20,"11-20 Years",TRUE,"20+ Years")</f>
        <v>5-10 Years</v>
      </c>
    </row>
    <row r="490" spans="1:25" x14ac:dyDescent="0.3">
      <c r="A490" t="s">
        <v>1073</v>
      </c>
      <c r="B490" t="s">
        <v>214</v>
      </c>
      <c r="C490" t="s">
        <v>35</v>
      </c>
      <c r="D490">
        <v>41</v>
      </c>
      <c r="E490" t="s">
        <v>23</v>
      </c>
      <c r="F490" t="s">
        <v>67</v>
      </c>
      <c r="G490" t="s">
        <v>58</v>
      </c>
      <c r="H490" t="s">
        <v>50</v>
      </c>
      <c r="I490" t="s">
        <v>27</v>
      </c>
      <c r="J490" s="1">
        <v>45411</v>
      </c>
      <c r="K490" s="1">
        <v>45454</v>
      </c>
      <c r="L490" t="s">
        <v>28</v>
      </c>
      <c r="M490" s="2">
        <v>89</v>
      </c>
      <c r="O490" t="s">
        <v>29</v>
      </c>
      <c r="P490">
        <v>34</v>
      </c>
      <c r="Q490" t="s">
        <v>30</v>
      </c>
      <c r="R490" t="s">
        <v>72</v>
      </c>
      <c r="S490" t="s">
        <v>1074</v>
      </c>
      <c r="T490">
        <v>1</v>
      </c>
      <c r="U490" t="str">
        <f>IF(Teacher_Data[[#This Row],[Completion_Status]]="Completed","Yes","No")</f>
        <v>No</v>
      </c>
      <c r="V490">
        <f>IF(Teacher_Data[[#This Row],[Completion_Status]]="Completed",1,0)</f>
        <v>0</v>
      </c>
      <c r="W490">
        <f>1</f>
        <v>1</v>
      </c>
      <c r="X490">
        <f>Teacher_Data[[#This Row],[End_Date]]-Teacher_Data[[#This Row],[Start_Date]]</f>
        <v>43</v>
      </c>
      <c r="Y490" t="str">
        <f>_xlfn.IFS(Teacher_Data[[#This Row],[Experience_Years]]&lt;=5,"0-5 Years",Teacher_Data[[#This Row],[Experience_Years]]&lt;=10,"5-10 Years",Teacher_Data[[#This Row],[Experience_Years]]&lt;=20,"11-20 Years",TRUE,"20+ Years")</f>
        <v>0-5 Years</v>
      </c>
    </row>
    <row r="491" spans="1:25" x14ac:dyDescent="0.3">
      <c r="A491" t="s">
        <v>1075</v>
      </c>
      <c r="B491" t="s">
        <v>182</v>
      </c>
      <c r="C491" t="s">
        <v>22</v>
      </c>
      <c r="D491">
        <v>44</v>
      </c>
      <c r="E491" t="s">
        <v>66</v>
      </c>
      <c r="F491" t="s">
        <v>67</v>
      </c>
      <c r="G491" t="s">
        <v>45</v>
      </c>
      <c r="H491" t="s">
        <v>39</v>
      </c>
      <c r="I491" t="s">
        <v>51</v>
      </c>
      <c r="J491" s="1">
        <v>45541</v>
      </c>
      <c r="K491" s="1">
        <v>45586</v>
      </c>
      <c r="L491" t="s">
        <v>28</v>
      </c>
      <c r="M491" s="2">
        <v>63</v>
      </c>
      <c r="O491" t="s">
        <v>29</v>
      </c>
      <c r="P491">
        <v>27</v>
      </c>
      <c r="Q491" t="s">
        <v>30</v>
      </c>
      <c r="R491" t="s">
        <v>41</v>
      </c>
      <c r="S491" t="s">
        <v>1076</v>
      </c>
      <c r="T491">
        <v>4</v>
      </c>
      <c r="U491" t="str">
        <f>IF(Teacher_Data[[#This Row],[Completion_Status]]="Completed","Yes","No")</f>
        <v>No</v>
      </c>
      <c r="V491">
        <f>IF(Teacher_Data[[#This Row],[Completion_Status]]="Completed",1,0)</f>
        <v>0</v>
      </c>
      <c r="W491">
        <f>1</f>
        <v>1</v>
      </c>
      <c r="X491">
        <f>Teacher_Data[[#This Row],[End_Date]]-Teacher_Data[[#This Row],[Start_Date]]</f>
        <v>45</v>
      </c>
      <c r="Y491" t="str">
        <f>_xlfn.IFS(Teacher_Data[[#This Row],[Experience_Years]]&lt;=5,"0-5 Years",Teacher_Data[[#This Row],[Experience_Years]]&lt;=10,"5-10 Years",Teacher_Data[[#This Row],[Experience_Years]]&lt;=20,"11-20 Years",TRUE,"20+ Years")</f>
        <v>0-5 Years</v>
      </c>
    </row>
    <row r="492" spans="1:25" x14ac:dyDescent="0.3">
      <c r="A492" t="s">
        <v>1077</v>
      </c>
      <c r="B492" t="s">
        <v>99</v>
      </c>
      <c r="C492" t="s">
        <v>22</v>
      </c>
      <c r="D492">
        <v>59</v>
      </c>
      <c r="E492" t="s">
        <v>66</v>
      </c>
      <c r="F492" t="s">
        <v>100</v>
      </c>
      <c r="G492" t="s">
        <v>45</v>
      </c>
      <c r="H492" t="s">
        <v>26</v>
      </c>
      <c r="I492" t="s">
        <v>46</v>
      </c>
      <c r="J492" s="1">
        <v>45317</v>
      </c>
      <c r="K492" s="1">
        <v>45360</v>
      </c>
      <c r="L492" t="s">
        <v>52</v>
      </c>
      <c r="M492" s="2">
        <v>85</v>
      </c>
      <c r="N492">
        <v>53</v>
      </c>
      <c r="O492" t="s">
        <v>53</v>
      </c>
      <c r="P492">
        <v>52</v>
      </c>
      <c r="Q492" t="s">
        <v>61</v>
      </c>
      <c r="R492" t="s">
        <v>72</v>
      </c>
      <c r="S492" t="s">
        <v>1078</v>
      </c>
      <c r="T492">
        <v>11</v>
      </c>
      <c r="U492" t="str">
        <f>IF(Teacher_Data[[#This Row],[Completion_Status]]="Completed","Yes","No")</f>
        <v>Yes</v>
      </c>
      <c r="V492">
        <f>IF(Teacher_Data[[#This Row],[Completion_Status]]="Completed",1,0)</f>
        <v>1</v>
      </c>
      <c r="W492">
        <f>1</f>
        <v>1</v>
      </c>
      <c r="X492">
        <f>Teacher_Data[[#This Row],[End_Date]]-Teacher_Data[[#This Row],[Start_Date]]</f>
        <v>43</v>
      </c>
      <c r="Y492" t="str">
        <f>_xlfn.IFS(Teacher_Data[[#This Row],[Experience_Years]]&lt;=5,"0-5 Years",Teacher_Data[[#This Row],[Experience_Years]]&lt;=10,"5-10 Years",Teacher_Data[[#This Row],[Experience_Years]]&lt;=20,"11-20 Years",TRUE,"20+ Years")</f>
        <v>11-20 Years</v>
      </c>
    </row>
    <row r="493" spans="1:25" x14ac:dyDescent="0.3">
      <c r="A493" t="s">
        <v>1079</v>
      </c>
      <c r="B493" t="s">
        <v>229</v>
      </c>
      <c r="C493" t="s">
        <v>35</v>
      </c>
      <c r="D493">
        <v>60</v>
      </c>
      <c r="E493" t="s">
        <v>66</v>
      </c>
      <c r="F493" t="s">
        <v>100</v>
      </c>
      <c r="G493" t="s">
        <v>45</v>
      </c>
      <c r="H493" t="s">
        <v>50</v>
      </c>
      <c r="I493" t="s">
        <v>51</v>
      </c>
      <c r="J493" s="1">
        <v>45544</v>
      </c>
      <c r="K493" s="1">
        <v>45599</v>
      </c>
      <c r="L493" t="s">
        <v>52</v>
      </c>
      <c r="M493" s="2">
        <v>86</v>
      </c>
      <c r="N493">
        <v>75</v>
      </c>
      <c r="O493" t="s">
        <v>53</v>
      </c>
      <c r="P493">
        <v>43</v>
      </c>
      <c r="Q493" t="s">
        <v>40</v>
      </c>
      <c r="R493" t="s">
        <v>41</v>
      </c>
      <c r="S493" t="s">
        <v>1080</v>
      </c>
      <c r="T493">
        <v>13</v>
      </c>
      <c r="U493" t="str">
        <f>IF(Teacher_Data[[#This Row],[Completion_Status]]="Completed","Yes","No")</f>
        <v>Yes</v>
      </c>
      <c r="V493">
        <f>IF(Teacher_Data[[#This Row],[Completion_Status]]="Completed",1,0)</f>
        <v>1</v>
      </c>
      <c r="W493">
        <f>1</f>
        <v>1</v>
      </c>
      <c r="X493">
        <f>Teacher_Data[[#This Row],[End_Date]]-Teacher_Data[[#This Row],[Start_Date]]</f>
        <v>55</v>
      </c>
      <c r="Y493" t="str">
        <f>_xlfn.IFS(Teacher_Data[[#This Row],[Experience_Years]]&lt;=5,"0-5 Years",Teacher_Data[[#This Row],[Experience_Years]]&lt;=10,"5-10 Years",Teacher_Data[[#This Row],[Experience_Years]]&lt;=20,"11-20 Years",TRUE,"20+ Years")</f>
        <v>11-20 Years</v>
      </c>
    </row>
    <row r="494" spans="1:25" x14ac:dyDescent="0.3">
      <c r="A494" t="s">
        <v>1081</v>
      </c>
      <c r="B494" t="s">
        <v>140</v>
      </c>
      <c r="C494" t="s">
        <v>22</v>
      </c>
      <c r="D494">
        <v>60</v>
      </c>
      <c r="E494" t="s">
        <v>57</v>
      </c>
      <c r="F494" t="s">
        <v>83</v>
      </c>
      <c r="G494" t="s">
        <v>38</v>
      </c>
      <c r="H494" t="s">
        <v>39</v>
      </c>
      <c r="I494" t="s">
        <v>51</v>
      </c>
      <c r="J494" s="1">
        <v>45527</v>
      </c>
      <c r="K494" s="1">
        <v>45581</v>
      </c>
      <c r="L494" t="s">
        <v>60</v>
      </c>
      <c r="M494" s="2">
        <v>32</v>
      </c>
      <c r="O494" t="s">
        <v>29</v>
      </c>
      <c r="P494">
        <v>18</v>
      </c>
      <c r="Q494" t="s">
        <v>30</v>
      </c>
      <c r="R494" t="s">
        <v>62</v>
      </c>
      <c r="S494" t="s">
        <v>1082</v>
      </c>
      <c r="T494">
        <v>7</v>
      </c>
      <c r="U494" t="str">
        <f>IF(Teacher_Data[[#This Row],[Completion_Status]]="Completed","Yes","No")</f>
        <v>No</v>
      </c>
      <c r="V494">
        <f>IF(Teacher_Data[[#This Row],[Completion_Status]]="Completed",1,0)</f>
        <v>0</v>
      </c>
      <c r="W494">
        <f>1</f>
        <v>1</v>
      </c>
      <c r="X494">
        <f>Teacher_Data[[#This Row],[End_Date]]-Teacher_Data[[#This Row],[Start_Date]]</f>
        <v>54</v>
      </c>
      <c r="Y494" t="str">
        <f>_xlfn.IFS(Teacher_Data[[#This Row],[Experience_Years]]&lt;=5,"0-5 Years",Teacher_Data[[#This Row],[Experience_Years]]&lt;=10,"5-10 Years",Teacher_Data[[#This Row],[Experience_Years]]&lt;=20,"11-20 Years",TRUE,"20+ Years")</f>
        <v>5-10 Years</v>
      </c>
    </row>
    <row r="495" spans="1:25" x14ac:dyDescent="0.3">
      <c r="A495" t="s">
        <v>1083</v>
      </c>
      <c r="B495" t="s">
        <v>99</v>
      </c>
      <c r="C495" t="s">
        <v>22</v>
      </c>
      <c r="D495">
        <v>55</v>
      </c>
      <c r="E495" t="s">
        <v>36</v>
      </c>
      <c r="F495" t="s">
        <v>24</v>
      </c>
      <c r="G495" t="s">
        <v>58</v>
      </c>
      <c r="H495" t="s">
        <v>26</v>
      </c>
      <c r="I495" t="s">
        <v>27</v>
      </c>
      <c r="J495" s="1">
        <v>45382</v>
      </c>
      <c r="K495" s="1">
        <v>45405</v>
      </c>
      <c r="L495" t="s">
        <v>52</v>
      </c>
      <c r="M495" s="2">
        <v>64</v>
      </c>
      <c r="N495">
        <v>58</v>
      </c>
      <c r="O495" t="s">
        <v>53</v>
      </c>
      <c r="P495">
        <v>13</v>
      </c>
      <c r="Q495" t="s">
        <v>61</v>
      </c>
      <c r="R495" t="s">
        <v>62</v>
      </c>
      <c r="S495" t="s">
        <v>1084</v>
      </c>
      <c r="T495">
        <v>23</v>
      </c>
      <c r="U495" t="str">
        <f>IF(Teacher_Data[[#This Row],[Completion_Status]]="Completed","Yes","No")</f>
        <v>Yes</v>
      </c>
      <c r="V495">
        <f>IF(Teacher_Data[[#This Row],[Completion_Status]]="Completed",1,0)</f>
        <v>1</v>
      </c>
      <c r="W495">
        <f>1</f>
        <v>1</v>
      </c>
      <c r="X495">
        <f>Teacher_Data[[#This Row],[End_Date]]-Teacher_Data[[#This Row],[Start_Date]]</f>
        <v>23</v>
      </c>
      <c r="Y495" t="str">
        <f>_xlfn.IFS(Teacher_Data[[#This Row],[Experience_Years]]&lt;=5,"0-5 Years",Teacher_Data[[#This Row],[Experience_Years]]&lt;=10,"5-10 Years",Teacher_Data[[#This Row],[Experience_Years]]&lt;=20,"11-20 Years",TRUE,"20+ Years")</f>
        <v>20+ Years</v>
      </c>
    </row>
    <row r="496" spans="1:25" x14ac:dyDescent="0.3">
      <c r="A496" t="s">
        <v>1085</v>
      </c>
      <c r="B496" t="s">
        <v>145</v>
      </c>
      <c r="C496" t="s">
        <v>35</v>
      </c>
      <c r="D496">
        <v>60</v>
      </c>
      <c r="E496" t="s">
        <v>57</v>
      </c>
      <c r="F496" t="s">
        <v>67</v>
      </c>
      <c r="G496" t="s">
        <v>25</v>
      </c>
      <c r="H496" t="s">
        <v>50</v>
      </c>
      <c r="I496" t="s">
        <v>51</v>
      </c>
      <c r="J496" s="1">
        <v>45440</v>
      </c>
      <c r="K496" s="1">
        <v>45454</v>
      </c>
      <c r="L496" t="s">
        <v>60</v>
      </c>
      <c r="M496" s="2">
        <v>31</v>
      </c>
      <c r="O496" t="s">
        <v>29</v>
      </c>
      <c r="P496">
        <v>54</v>
      </c>
      <c r="Q496" t="s">
        <v>30</v>
      </c>
      <c r="R496" t="s">
        <v>31</v>
      </c>
      <c r="S496" t="s">
        <v>1086</v>
      </c>
      <c r="T496">
        <v>33</v>
      </c>
      <c r="U496" t="str">
        <f>IF(Teacher_Data[[#This Row],[Completion_Status]]="Completed","Yes","No")</f>
        <v>No</v>
      </c>
      <c r="V496">
        <f>IF(Teacher_Data[[#This Row],[Completion_Status]]="Completed",1,0)</f>
        <v>0</v>
      </c>
      <c r="W496">
        <f>1</f>
        <v>1</v>
      </c>
      <c r="X496">
        <f>Teacher_Data[[#This Row],[End_Date]]-Teacher_Data[[#This Row],[Start_Date]]</f>
        <v>14</v>
      </c>
      <c r="Y496" t="str">
        <f>_xlfn.IFS(Teacher_Data[[#This Row],[Experience_Years]]&lt;=5,"0-5 Years",Teacher_Data[[#This Row],[Experience_Years]]&lt;=10,"5-10 Years",Teacher_Data[[#This Row],[Experience_Years]]&lt;=20,"11-20 Years",TRUE,"20+ Years")</f>
        <v>20+ Years</v>
      </c>
    </row>
    <row r="497" spans="1:25" x14ac:dyDescent="0.3">
      <c r="A497" t="s">
        <v>1087</v>
      </c>
      <c r="B497" t="s">
        <v>167</v>
      </c>
      <c r="C497" t="s">
        <v>22</v>
      </c>
      <c r="D497">
        <v>56</v>
      </c>
      <c r="E497" t="s">
        <v>36</v>
      </c>
      <c r="F497" t="s">
        <v>100</v>
      </c>
      <c r="G497" t="s">
        <v>58</v>
      </c>
      <c r="H497" t="s">
        <v>50</v>
      </c>
      <c r="I497" t="s">
        <v>51</v>
      </c>
      <c r="J497" s="1">
        <v>45455</v>
      </c>
      <c r="K497" s="1">
        <v>45482</v>
      </c>
      <c r="L497" t="s">
        <v>52</v>
      </c>
      <c r="M497" s="2">
        <v>46</v>
      </c>
      <c r="N497">
        <v>60</v>
      </c>
      <c r="O497" t="s">
        <v>53</v>
      </c>
      <c r="P497">
        <v>48</v>
      </c>
      <c r="Q497" t="s">
        <v>68</v>
      </c>
      <c r="R497" t="s">
        <v>62</v>
      </c>
      <c r="S497" t="s">
        <v>1088</v>
      </c>
      <c r="T497">
        <v>29</v>
      </c>
      <c r="U497" t="str">
        <f>IF(Teacher_Data[[#This Row],[Completion_Status]]="Completed","Yes","No")</f>
        <v>Yes</v>
      </c>
      <c r="V497">
        <f>IF(Teacher_Data[[#This Row],[Completion_Status]]="Completed",1,0)</f>
        <v>1</v>
      </c>
      <c r="W497">
        <f>1</f>
        <v>1</v>
      </c>
      <c r="X497">
        <f>Teacher_Data[[#This Row],[End_Date]]-Teacher_Data[[#This Row],[Start_Date]]</f>
        <v>27</v>
      </c>
      <c r="Y497" t="str">
        <f>_xlfn.IFS(Teacher_Data[[#This Row],[Experience_Years]]&lt;=5,"0-5 Years",Teacher_Data[[#This Row],[Experience_Years]]&lt;=10,"5-10 Years",Teacher_Data[[#This Row],[Experience_Years]]&lt;=20,"11-20 Years",TRUE,"20+ Years")</f>
        <v>20+ Years</v>
      </c>
    </row>
    <row r="498" spans="1:25" x14ac:dyDescent="0.3">
      <c r="A498" t="s">
        <v>1089</v>
      </c>
      <c r="B498" t="s">
        <v>197</v>
      </c>
      <c r="C498" t="s">
        <v>22</v>
      </c>
      <c r="D498">
        <v>29</v>
      </c>
      <c r="E498" t="s">
        <v>66</v>
      </c>
      <c r="F498" t="s">
        <v>100</v>
      </c>
      <c r="G498" t="s">
        <v>38</v>
      </c>
      <c r="H498" t="s">
        <v>26</v>
      </c>
      <c r="I498" t="s">
        <v>46</v>
      </c>
      <c r="J498" s="1">
        <v>45400</v>
      </c>
      <c r="K498" s="1">
        <v>45427</v>
      </c>
      <c r="L498" t="s">
        <v>60</v>
      </c>
      <c r="M498" s="2">
        <v>23</v>
      </c>
      <c r="O498" t="s">
        <v>29</v>
      </c>
      <c r="P498">
        <v>29</v>
      </c>
      <c r="Q498" t="s">
        <v>30</v>
      </c>
      <c r="R498" t="s">
        <v>62</v>
      </c>
      <c r="S498" t="s">
        <v>1090</v>
      </c>
      <c r="T498">
        <v>23</v>
      </c>
      <c r="U498" t="str">
        <f>IF(Teacher_Data[[#This Row],[Completion_Status]]="Completed","Yes","No")</f>
        <v>No</v>
      </c>
      <c r="V498">
        <f>IF(Teacher_Data[[#This Row],[Completion_Status]]="Completed",1,0)</f>
        <v>0</v>
      </c>
      <c r="W498">
        <f>1</f>
        <v>1</v>
      </c>
      <c r="X498">
        <f>Teacher_Data[[#This Row],[End_Date]]-Teacher_Data[[#This Row],[Start_Date]]</f>
        <v>27</v>
      </c>
      <c r="Y498" t="str">
        <f>_xlfn.IFS(Teacher_Data[[#This Row],[Experience_Years]]&lt;=5,"0-5 Years",Teacher_Data[[#This Row],[Experience_Years]]&lt;=10,"5-10 Years",Teacher_Data[[#This Row],[Experience_Years]]&lt;=20,"11-20 Years",TRUE,"20+ Years")</f>
        <v>20+ Years</v>
      </c>
    </row>
    <row r="499" spans="1:25" x14ac:dyDescent="0.3">
      <c r="A499" t="s">
        <v>1091</v>
      </c>
      <c r="B499" t="s">
        <v>82</v>
      </c>
      <c r="C499" t="s">
        <v>35</v>
      </c>
      <c r="D499">
        <v>54</v>
      </c>
      <c r="E499" t="s">
        <v>66</v>
      </c>
      <c r="F499" t="s">
        <v>83</v>
      </c>
      <c r="G499" t="s">
        <v>76</v>
      </c>
      <c r="H499" t="s">
        <v>50</v>
      </c>
      <c r="I499" t="s">
        <v>51</v>
      </c>
      <c r="J499" s="1">
        <v>45575</v>
      </c>
      <c r="K499" s="1">
        <v>45609</v>
      </c>
      <c r="L499" t="s">
        <v>52</v>
      </c>
      <c r="M499" s="2">
        <v>82</v>
      </c>
      <c r="N499">
        <v>59</v>
      </c>
      <c r="O499" t="s">
        <v>53</v>
      </c>
      <c r="P499">
        <v>14</v>
      </c>
      <c r="Q499" t="s">
        <v>61</v>
      </c>
      <c r="R499" t="s">
        <v>31</v>
      </c>
      <c r="S499" t="s">
        <v>1092</v>
      </c>
      <c r="T499">
        <v>31</v>
      </c>
      <c r="U499" t="str">
        <f>IF(Teacher_Data[[#This Row],[Completion_Status]]="Completed","Yes","No")</f>
        <v>Yes</v>
      </c>
      <c r="V499">
        <f>IF(Teacher_Data[[#This Row],[Completion_Status]]="Completed",1,0)</f>
        <v>1</v>
      </c>
      <c r="W499">
        <f>1</f>
        <v>1</v>
      </c>
      <c r="X499">
        <f>Teacher_Data[[#This Row],[End_Date]]-Teacher_Data[[#This Row],[Start_Date]]</f>
        <v>34</v>
      </c>
      <c r="Y499" t="str">
        <f>_xlfn.IFS(Teacher_Data[[#This Row],[Experience_Years]]&lt;=5,"0-5 Years",Teacher_Data[[#This Row],[Experience_Years]]&lt;=10,"5-10 Years",Teacher_Data[[#This Row],[Experience_Years]]&lt;=20,"11-20 Years",TRUE,"20+ Years")</f>
        <v>20+ Years</v>
      </c>
    </row>
    <row r="500" spans="1:25" x14ac:dyDescent="0.3">
      <c r="A500" t="s">
        <v>1093</v>
      </c>
      <c r="B500" t="s">
        <v>417</v>
      </c>
      <c r="C500" t="s">
        <v>35</v>
      </c>
      <c r="D500">
        <v>56</v>
      </c>
      <c r="E500" t="s">
        <v>57</v>
      </c>
      <c r="F500" t="s">
        <v>37</v>
      </c>
      <c r="G500" t="s">
        <v>25</v>
      </c>
      <c r="H500" t="s">
        <v>59</v>
      </c>
      <c r="I500" t="s">
        <v>46</v>
      </c>
      <c r="J500" s="1">
        <v>45519</v>
      </c>
      <c r="K500" s="1">
        <v>45569</v>
      </c>
      <c r="L500" t="s">
        <v>28</v>
      </c>
      <c r="M500" s="2">
        <v>79</v>
      </c>
      <c r="O500" t="s">
        <v>29</v>
      </c>
      <c r="P500">
        <v>55</v>
      </c>
      <c r="Q500" t="s">
        <v>68</v>
      </c>
      <c r="R500" t="s">
        <v>72</v>
      </c>
      <c r="S500" t="s">
        <v>1094</v>
      </c>
      <c r="T500">
        <v>22</v>
      </c>
      <c r="U500" t="str">
        <f>IF(Teacher_Data[[#This Row],[Completion_Status]]="Completed","Yes","No")</f>
        <v>No</v>
      </c>
      <c r="V500">
        <f>IF(Teacher_Data[[#This Row],[Completion_Status]]="Completed",1,0)</f>
        <v>0</v>
      </c>
      <c r="W500">
        <f>1</f>
        <v>1</v>
      </c>
      <c r="X500">
        <f>Teacher_Data[[#This Row],[End_Date]]-Teacher_Data[[#This Row],[Start_Date]]</f>
        <v>50</v>
      </c>
      <c r="Y500" t="str">
        <f>_xlfn.IFS(Teacher_Data[[#This Row],[Experience_Years]]&lt;=5,"0-5 Years",Teacher_Data[[#This Row],[Experience_Years]]&lt;=10,"5-10 Years",Teacher_Data[[#This Row],[Experience_Years]]&lt;=20,"11-20 Years",TRUE,"20+ Years")</f>
        <v>20+ Years</v>
      </c>
    </row>
    <row r="501" spans="1:25" x14ac:dyDescent="0.3">
      <c r="A501" t="s">
        <v>1095</v>
      </c>
      <c r="B501" t="s">
        <v>89</v>
      </c>
      <c r="C501" t="s">
        <v>35</v>
      </c>
      <c r="D501">
        <v>35</v>
      </c>
      <c r="E501" t="s">
        <v>66</v>
      </c>
      <c r="F501" t="s">
        <v>24</v>
      </c>
      <c r="G501" t="s">
        <v>76</v>
      </c>
      <c r="H501" t="s">
        <v>59</v>
      </c>
      <c r="I501" t="s">
        <v>27</v>
      </c>
      <c r="J501" s="1">
        <v>45486</v>
      </c>
      <c r="K501" s="1">
        <v>45545</v>
      </c>
      <c r="L501" t="s">
        <v>60</v>
      </c>
      <c r="M501" s="2">
        <v>13</v>
      </c>
      <c r="O501" t="s">
        <v>29</v>
      </c>
      <c r="P501">
        <v>11</v>
      </c>
      <c r="Q501" t="s">
        <v>40</v>
      </c>
      <c r="R501" t="s">
        <v>41</v>
      </c>
      <c r="S501" t="s">
        <v>1096</v>
      </c>
      <c r="T501">
        <v>10</v>
      </c>
      <c r="U501" t="str">
        <f>IF(Teacher_Data[[#This Row],[Completion_Status]]="Completed","Yes","No")</f>
        <v>No</v>
      </c>
      <c r="V501">
        <f>IF(Teacher_Data[[#This Row],[Completion_Status]]="Completed",1,0)</f>
        <v>0</v>
      </c>
      <c r="W501">
        <f>1</f>
        <v>1</v>
      </c>
      <c r="X501">
        <f>Teacher_Data[[#This Row],[End_Date]]-Teacher_Data[[#This Row],[Start_Date]]</f>
        <v>59</v>
      </c>
      <c r="Y501" t="str">
        <f>_xlfn.IFS(Teacher_Data[[#This Row],[Experience_Years]]&lt;=5,"0-5 Years",Teacher_Data[[#This Row],[Experience_Years]]&lt;=10,"5-10 Years",Teacher_Data[[#This Row],[Experience_Years]]&lt;=20,"11-20 Years",TRUE,"20+ Years")</f>
        <v>5-10 Years</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Pivots</vt:lpstr>
      <vt:lpstr>Dashboard</vt:lpstr>
      <vt:lpstr>Teacher_Course_Completion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Dharshan Nayaka</cp:lastModifiedBy>
  <cp:lastPrinted>2025-12-19T07:48:44Z</cp:lastPrinted>
  <dcterms:created xsi:type="dcterms:W3CDTF">2025-12-17T13:40:46Z</dcterms:created>
  <dcterms:modified xsi:type="dcterms:W3CDTF">2025-12-19T08:01:30Z</dcterms:modified>
</cp:coreProperties>
</file>